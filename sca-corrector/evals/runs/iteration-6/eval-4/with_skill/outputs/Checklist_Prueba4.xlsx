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ueba 4" sheetId="1" state="visible" r:id="rId1"/>
    <sheet xmlns:r="http://schemas.openxmlformats.org/officeDocument/2006/relationships" name="Template Backend" sheetId="2" state="visible" r:id="rId2"/>
    <sheet xmlns:r="http://schemas.openxmlformats.org/officeDocument/2006/relationships" name="Template Frontend" sheetId="3" state="visible" r:id="rId3"/>
    <sheet xmlns:r="http://schemas.openxmlformats.org/officeDocument/2006/relationships" name="Ejemplo del doc" sheetId="4" state="visible" r:id="rId4"/>
    <sheet xmlns:r="http://schemas.openxmlformats.org/officeDocument/2006/relationships" name="Manual 1" sheetId="5" state="visible" r:id="rId5"/>
    <sheet xmlns:r="http://schemas.openxmlformats.org/officeDocument/2006/relationships" name="Manual 2" sheetId="6" state="visible" r:id="rId6"/>
    <sheet xmlns:r="http://schemas.openxmlformats.org/officeDocument/2006/relationships" name="Manual 3" sheetId="7" state="visible" r:id="rId7"/>
    <sheet xmlns:r="http://schemas.openxmlformats.org/officeDocument/2006/relationships" name="Manual 4" sheetId="8" state="visible" r:id="rId8"/>
    <sheet xmlns:r="http://schemas.openxmlformats.org/officeDocument/2006/relationships" name="Manual 5" sheetId="9" state="visible" r:id="rId9"/>
    <sheet xmlns:r="http://schemas.openxmlformats.org/officeDocument/2006/relationships" name="Manual front 1" sheetId="10" state="visible" r:id="rId10"/>
    <sheet xmlns:r="http://schemas.openxmlformats.org/officeDocument/2006/relationships" name="Manual front 2" sheetId="11" state="visible" r:id="rId11"/>
    <sheet xmlns:r="http://schemas.openxmlformats.org/officeDocument/2006/relationships" name="Manual front 3" sheetId="12" state="visible" r:id="rId12"/>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b val="1"/>
      <color theme="1"/>
      <scheme val="minor"/>
    </font>
    <font>
      <name val="Arial"/>
      <color theme="1"/>
    </font>
    <font>
      <name val="Arial"/>
      <color rgb="FF000000"/>
    </font>
  </fonts>
  <fills count="2">
    <fill>
      <patternFill/>
    </fill>
    <fill>
      <patternFill patternType="lightGray"/>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bottom"/>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2:B47"/>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t="n">
        <v>1</v>
      </c>
      <c r="B3" s="2">
        <f>IF(A3=1,"✅", "❌") &amp; "Explica cómo correr el código."</f>
        <v/>
      </c>
    </row>
    <row r="4">
      <c r="A4" t="n">
        <v>0</v>
      </c>
      <c r="B4" s="2">
        <f>IF(A4=1,"✅", "❌") &amp; "Documenta la versión de la tecnología en la que programó la prueba."</f>
        <v/>
      </c>
    </row>
    <row r="5">
      <c r="A5" t="n">
        <v>0</v>
      </c>
      <c r="B5" s="2">
        <f>IF(A5=1,"✅", "❌") &amp; "Explica cómo funciona el código, o elecciones que se tomaron, o condiciones particulares"</f>
        <v/>
      </c>
    </row>
    <row r="7">
      <c r="B7" s="2" t="inlineStr">
        <is>
          <t>👨🏻‍💻 Usabilidad</t>
        </is>
      </c>
    </row>
    <row r="8">
      <c r="A8" t="n">
        <v>1</v>
      </c>
      <c r="B8" s="2">
        <f>IF(A8=1,"✅", "❌") &amp; "El output es consistente (todo por consola o todo por archivos)."</f>
        <v/>
      </c>
    </row>
    <row r="9">
      <c r="A9" t="n">
        <v>1</v>
      </c>
      <c r="B9" s="2">
        <f>IF(A9=1,"✅", "❌") &amp; "Parametriza los archivos en la ejecución (archivo de config, constante, línea de comandos)"</f>
        <v/>
      </c>
    </row>
    <row r="10">
      <c r="A10" t="n">
        <v>1</v>
      </c>
      <c r="B10" s="2">
        <f>IF(A10=1,"✅", "❌") &amp; "No hardcodea el nombre de archivos (u*.json)"</f>
        <v/>
      </c>
    </row>
    <row r="11">
      <c r="A11" t="n">
        <v>1</v>
      </c>
      <c r="B11" s="2">
        <f>IF(A11=1,"✅", "❌❗") &amp; "No hardcodea la cantidad de archivos (20)"</f>
        <v/>
      </c>
    </row>
    <row r="12">
      <c r="A12" t="n">
        <v>1</v>
      </c>
      <c r="B12" s="2">
        <f>IF(A12=1,"✅", "❌❗") &amp; "No hardcodea los providers que espera encontrar (authx.provider_y)"</f>
        <v/>
      </c>
    </row>
    <row r="13">
      <c r="A13" t="n">
        <v>0</v>
      </c>
      <c r="B13" s="2">
        <f>IF(A13=1,"✅😀", "❌")&amp;"Imprime la salida como en la letra (sin las comas, JSON inválido), o cuestionó el formato."</f>
        <v/>
      </c>
    </row>
    <row r="15">
      <c r="B15" s="2" t="inlineStr">
        <is>
          <t>🍝 Calidad del código</t>
        </is>
      </c>
    </row>
    <row r="16">
      <c r="A16" t="n">
        <v>1</v>
      </c>
      <c r="B16" s="2">
        <f>IF(A16=1,"✅", "❌") &amp;"Es consistente con la nomenclatura (camelCase o snake_case)"</f>
        <v/>
      </c>
    </row>
    <row r="17">
      <c r="A17" t="n">
        <v>0</v>
      </c>
      <c r="B17" s="2">
        <f>IF(A17=1,"✅", "❌")&amp;"Los comentarios son adecuados (dicen cosas útiles)."</f>
        <v/>
      </c>
    </row>
    <row r="18">
      <c r="A18" t="n">
        <v>1</v>
      </c>
      <c r="B18" s="2">
        <f>IF(A18=1,"✅", "❌")&amp;"No hay comentarios excesivos."</f>
        <v/>
      </c>
    </row>
    <row r="19">
      <c r="A19" t="n">
        <v>1</v>
      </c>
      <c r="B19" s="2">
        <f>IF(A19=1,"✅", "❌")&amp;"Escribe de acuerdo a las convenciones de la tecnología."</f>
        <v/>
      </c>
    </row>
    <row r="20">
      <c r="A20" t="n">
        <v>1</v>
      </c>
      <c r="B20" s="2">
        <f>IF(A20=1,"✅", "❌")&amp;"Divide el problema en funciones chicas y concretas."</f>
        <v/>
      </c>
    </row>
    <row r="21">
      <c r="A21" t="n">
        <v>1</v>
      </c>
      <c r="B21" s="2">
        <f>IF(A21=1,"✅", "❌")&amp;"No repite el código de la parte A."</f>
        <v/>
      </c>
    </row>
    <row r="22">
      <c r="A22" t="n">
        <v>1</v>
      </c>
      <c r="B22" s="2">
        <f>IF(A22=1,"✅", "❌❗")&amp;"No hay código duplicado."</f>
        <v/>
      </c>
    </row>
    <row r="23">
      <c r="A23" t="n">
        <v>1</v>
      </c>
      <c r="B23" s="2">
        <f>IF(A23=1,"✅", "❌")&amp;"No tiene código mal indentado."</f>
        <v/>
      </c>
    </row>
    <row r="24">
      <c r="A24" t="n">
        <v>1</v>
      </c>
      <c r="B24" s="2">
        <f>IF(A24=1,"✅", "❌")&amp;"No tiene formato irregular (espacios o enters donde no debería)."</f>
        <v/>
      </c>
    </row>
    <row r="25">
      <c r="A25" t="n">
        <v>1</v>
      </c>
      <c r="B25" s="2">
        <f>IF(A25=1,"✅😀", "❌")&amp;"Tiene error handling."</f>
        <v/>
      </c>
    </row>
    <row r="27">
      <c r="B27" s="2" t="inlineStr">
        <is>
          <t>🛠️ Eficacia y Eficiencia</t>
        </is>
      </c>
    </row>
    <row r="28">
      <c r="A28" t="n">
        <v>1</v>
      </c>
      <c r="B28" s="2">
        <f>IF(A28=1,"✅", "❌❗")&amp;"Parte A correcta"</f>
        <v/>
      </c>
    </row>
    <row r="29">
      <c r="A29" t="n">
        <v>1</v>
      </c>
      <c r="B29" s="2">
        <f>IF(A29=1,"✅", "❌❗")&amp;"Consigue un set de usuarios que cubren todos los módulos."</f>
        <v/>
      </c>
    </row>
    <row r="30">
      <c r="A30" t="n">
        <v>1</v>
      </c>
      <c r="B30" s="2">
        <f>IF(A30=1,"✅", "❌")&amp;"Busca un set reducido (ej: ordenar por los que usan más módulos)."</f>
        <v/>
      </c>
    </row>
    <row r="31">
      <c r="A31" t="n">
        <v>1</v>
      </c>
      <c r="B31" s="2">
        <f>IF(A31=1,"✅😀", "❌")&amp;"Asegura el set mínimo (ej: backtracking, generar todo, etc)."</f>
        <v/>
      </c>
    </row>
    <row r="33">
      <c r="A33" s="2" t="inlineStr">
        <is>
          <t>(0 a 3)</t>
        </is>
      </c>
      <c r="B33" s="2" t="inlineStr">
        <is>
          <t>🎚️Nivel</t>
        </is>
      </c>
    </row>
    <row r="34">
      <c r="A34" t="n">
        <v>1</v>
      </c>
      <c r="B34" s="3">
        <f>SWITCH(A34, 0, "No suficiente", 1, "Trainee", 2, "Junior", 3, "SemiSr")</f>
        <v/>
      </c>
    </row>
    <row r="36">
      <c r="B36" s="2" t="inlineStr">
        <is>
          <t>⭐Aspectos que destacan (positivos o negativos), o impresiones generales</t>
        </is>
      </c>
    </row>
    <row r="37">
      <c r="A37" t="inlineStr">
        <is>
          <t>Código bien estructurado con separación clara de responsabilidades</t>
        </is>
      </c>
    </row>
    <row r="38">
      <c r="A38" t="inlineStr">
        <is>
          <t>Ambas partes funcionan correctamente (validadas por validators)</t>
        </is>
      </c>
    </row>
    <row r="40">
      <c r="B40" s="4" t="n"/>
    </row>
    <row r="41">
      <c r="B41" s="2" t="inlineStr">
        <is>
          <t>📝 Otras notas de corrección</t>
        </is>
      </c>
    </row>
    <row r="42">
      <c r="A42" t="inlineStr">
        <is>
          <t>Falta documentación de versión de Node.js (package.json tiene versiones de dependencias pero no de runtime). README no explica decisiones técnicas (por qué este enfoque, complejidad del algoritmo, etc.). Buen error handling en controllers. Algoritmo de búsqueda es correcto y encuentra set de 4 usuarios.</t>
        </is>
      </c>
      <c r="B42" s="4" t="n"/>
    </row>
    <row r="43">
      <c r="B43" s="4" t="n"/>
    </row>
    <row r="46">
      <c r="B46" s="2" t="inlineStr">
        <is>
          <t>🎁 Feedback</t>
        </is>
      </c>
    </row>
    <row r="47">
      <c r="A47" t="inlineStr">
        <is>
          <t>Mejora: Documenta la versión de Node.js en README o package.json (engines field). Añade comentarios explicando el enfoque de búsqueda (dinámico vs otros algoritmos) y por qué 4 es el mínimo óptimo para 8 módulos.</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2:B46"/>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B3" s="2">
        <f>IF(A3=1,"✅", "❌") &amp; "Explica cómo correr el código."</f>
        <v/>
      </c>
    </row>
    <row r="4">
      <c r="B4" s="2">
        <f>IF(A4=1,"✅", "❌") &amp; "Documenta la versión de la tecnología en la que programó la prueba."</f>
        <v/>
      </c>
    </row>
    <row r="5">
      <c r="B5" s="2">
        <f>IF(A5=1,"✅", "❌") &amp; "Explica cómo funciona el código, o elecciones que se tomaron, o condiciones particulares"</f>
        <v/>
      </c>
    </row>
    <row r="7">
      <c r="B7" s="2" t="inlineStr">
        <is>
          <t>👨🏻‍💻 Usabilidad</t>
        </is>
      </c>
    </row>
    <row r="8">
      <c r="B8" s="2">
        <f>IF(A8=1,"✅", "❌") &amp; "El output es consistente (todo por consola o todo por archivos)."</f>
        <v/>
      </c>
    </row>
    <row r="9">
      <c r="B9" s="2">
        <f>IF(A9=1,"✅", "❌") &amp; "Parametriza los archivos en la ejecución (archivo de config, constante, línea de comandos)"</f>
        <v/>
      </c>
    </row>
    <row r="10">
      <c r="B10" s="2">
        <f>IF(A10=1,"✅", "❌") &amp; "No hardcodea el nombre de archivos (u*.json)"</f>
        <v/>
      </c>
    </row>
    <row r="11">
      <c r="B11" s="2">
        <f>IF(A11=1,"✅", "❌❗") &amp; "No hardcodea la cantidad de archivos (20)"</f>
        <v/>
      </c>
    </row>
    <row r="12">
      <c r="B12" s="2">
        <f>IF(A12=1,"✅", "❌❗") &amp; "No hardcodea los providers que espera encontrar (authx.provider_y)"</f>
        <v/>
      </c>
    </row>
    <row r="13">
      <c r="B13" s="2">
        <f>IF(A13=1,"✅😀", "❌")&amp;"Imprime la salida como en la letra (sin las comas, JSON inválido), o cuestionó el formato."</f>
        <v/>
      </c>
    </row>
    <row r="15">
      <c r="B15" s="2" t="inlineStr">
        <is>
          <t>🍝 Calidad del código</t>
        </is>
      </c>
    </row>
    <row r="16">
      <c r="B16" s="2">
        <f>IF(A16=1,"✅", "❌") &amp;"Es consistente con la nomenclatura (camelCase o snake_case)"</f>
        <v/>
      </c>
    </row>
    <row r="17">
      <c r="B17" s="2">
        <f>IF(A17=1,"✅", "❌")&amp;"Los comentarios son adecuados (dicen cosas útiles)."</f>
        <v/>
      </c>
    </row>
    <row r="18">
      <c r="B18" s="2">
        <f>IF(A18=1,"✅", "❌")&amp;"No hay comentarios excesivos."</f>
        <v/>
      </c>
    </row>
    <row r="19">
      <c r="B19" s="2">
        <f>IF(A19=1,"✅", "❌")&amp;"Escribe de acuerdo a las convenciones de la tecnología."</f>
        <v/>
      </c>
    </row>
    <row r="20">
      <c r="B20" s="2">
        <f>IF(A20=1,"✅", "❌")&amp;"Divide el problema en funciones chicas y concretas."</f>
        <v/>
      </c>
    </row>
    <row r="21">
      <c r="B21" s="2">
        <f>IF(A21=1,"✅", "❌")&amp;"No repite el código de la parte A."</f>
        <v/>
      </c>
    </row>
    <row r="22">
      <c r="B22" s="2">
        <f>IF(A22=1,"✅", "❌❗")&amp;"No hay código duplicado."</f>
        <v/>
      </c>
    </row>
    <row r="23">
      <c r="B23" s="2">
        <f>IF(A23=1,"✅", "❌")&amp;"No tiene código mal indentado."</f>
        <v/>
      </c>
    </row>
    <row r="24">
      <c r="B24" s="2">
        <f>IF(A24=1,"✅", "❌")&amp;"No tiene formato irregular (espacios o enters donde no debería)."</f>
        <v/>
      </c>
    </row>
    <row r="25">
      <c r="B25" s="2">
        <f>IF(A25=1,"✅😀", "❌")&amp;"Tiene error handling."</f>
        <v/>
      </c>
    </row>
    <row r="27">
      <c r="B27" s="2" t="inlineStr">
        <is>
          <t>🛠️ Eficacia y Eficiencia</t>
        </is>
      </c>
    </row>
    <row r="28">
      <c r="B28" s="2">
        <f>IF(A28=1,"✅", "❌❗")&amp;"Parte A correcta"</f>
        <v/>
      </c>
    </row>
    <row r="29">
      <c r="B29" s="2">
        <f>IF(A29=1,"✅", "❌❗")&amp;"Consigue un set de usuarios que cubren todos los módulos."</f>
        <v/>
      </c>
    </row>
    <row r="30">
      <c r="B30" s="2">
        <f>IF(A30=1,"✅", "❌")&amp;"Busca un set reducido (ej: ordenar por los que usan más módulos)."</f>
        <v/>
      </c>
    </row>
    <row r="31">
      <c r="B31" s="2">
        <f>IF(A31=1,"✅😀", "❌")&amp;"Asegura el set mínimo (ej: backtracking, generar todo, etc)."</f>
        <v/>
      </c>
    </row>
    <row r="33">
      <c r="A33" s="2" t="inlineStr">
        <is>
          <t>(0 a 3)</t>
        </is>
      </c>
      <c r="B33" s="2" t="inlineStr">
        <is>
          <t>🎚️Nivel</t>
        </is>
      </c>
    </row>
    <row r="34">
      <c r="B34" s="3">
        <f>SWITCH(A34, 0, "No suficiente", 1, "Trainee", 2, "Junior", 3, "SemiSr")</f>
        <v/>
      </c>
    </row>
    <row r="36">
      <c r="B36" s="2" t="inlineStr">
        <is>
          <t>⭐Aspectos que destacan (positivos o negativos), o impresiones generales</t>
        </is>
      </c>
    </row>
    <row r="40">
      <c r="B40" s="4" t="n"/>
    </row>
    <row r="41">
      <c r="B41" s="2" t="inlineStr">
        <is>
          <t>📝 Otras notas de corrección</t>
        </is>
      </c>
    </row>
    <row r="42">
      <c r="B42" s="4" t="n"/>
    </row>
    <row r="43">
      <c r="B43" s="4" t="n"/>
    </row>
    <row r="46">
      <c r="B46" s="2" t="inlineStr">
        <is>
          <t>🎁 Feedback</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2:B63"/>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1</v>
      </c>
      <c r="B4" s="2">
        <f>IF(A4=1,"✅", "❌") &amp; "Documenta la versión de la tecnología en la que programó la prueba."</f>
        <v/>
      </c>
    </row>
    <row r="5">
      <c r="B5" s="2">
        <f>IF(A5=1,"✅", "❌") &amp; "Explica cómo funciona el código, o elecciones que se tomaron, o condiciones particulares"</f>
        <v/>
      </c>
    </row>
    <row r="7">
      <c r="B7" s="2" t="inlineStr">
        <is>
          <t>👨🏻‍💻 Usabilidad</t>
        </is>
      </c>
    </row>
    <row r="8">
      <c r="B8" s="2">
        <f>IF(A8=1,"✅", "❌") &amp; "El output es consistente (todo por consola o todo por archivos)."</f>
        <v/>
      </c>
    </row>
    <row r="9">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B12" s="2">
        <f>IF(A12=1,"✅", "❌❗") &amp; "No hardcodea los providers que espera encontrar (authx.provider_y)"</f>
        <v/>
      </c>
    </row>
    <row r="13">
      <c r="B13" s="2" t="n"/>
    </row>
    <row r="14">
      <c r="B14" s="2" t="inlineStr">
        <is>
          <t>👨🏻‍💻 Usabilidad Front</t>
        </is>
      </c>
    </row>
    <row r="15">
      <c r="B15" s="2">
        <f>IF(A15=1,"✅", "❌")&amp;"Queda seleccionado el boton del modulo o submodulo"</f>
        <v/>
      </c>
    </row>
    <row r="16">
      <c r="B16" s="2">
        <f>IF(A16=1,"✅", "❌")&amp;"Los headers dicen lo que pide la letra"</f>
        <v/>
      </c>
    </row>
    <row r="17">
      <c r="B17" s="2">
        <f>IF(A17=1,"✅", "❌")&amp;"Los botones dicen lo que pide la letra"</f>
        <v/>
      </c>
    </row>
    <row r="18">
      <c r="B18" s="2">
        <f>IF(A18=1,"✅", "❌")&amp;"Se utiliza el ruteo de react"</f>
        <v/>
      </c>
    </row>
    <row r="19">
      <c r="B19" s="2">
        <f>IF(A19=1,"✅", "❌")&amp;"Similitud visual del modulo a la letra"</f>
        <v/>
      </c>
    </row>
    <row r="20">
      <c r="B20" s="2">
        <f>IF(A20=1,"✅", "❌")&amp;"Similitud visual de los botones a la letra"</f>
        <v/>
      </c>
    </row>
    <row r="21">
      <c r="B21" s="2">
        <f>IF(A21=1,"✅", "❌")&amp;"Responsive"</f>
        <v/>
      </c>
    </row>
    <row r="22">
      <c r="B22" s="2" t="n"/>
    </row>
    <row r="23">
      <c r="B23" s="2" t="inlineStr">
        <is>
          <t>🍝 Calidad del código</t>
        </is>
      </c>
    </row>
    <row r="24">
      <c r="B24" s="2">
        <f>IF(A24=1,"✅", "❌") &amp;"Es consistente con la nomenclatura (camelCase o snake_case)"</f>
        <v/>
      </c>
    </row>
    <row r="25">
      <c r="B25" s="2">
        <f>IF(A25=1,"✅", "❌")&amp;"Los comentarios son adecuados (dicen cosas útiles)."</f>
        <v/>
      </c>
    </row>
    <row r="26">
      <c r="B26" s="2">
        <f>IF(A26=1,"✅", "❌")&amp;"No hay comentarios excesivos."</f>
        <v/>
      </c>
    </row>
    <row r="27">
      <c r="B27" s="2">
        <f>IF(A27=1,"✅", "❌")&amp;"Escribe de acuerdo a las convenciones de la tecnología."</f>
        <v/>
      </c>
    </row>
    <row r="28">
      <c r="B28" s="2">
        <f>IF(A28=1,"✅", "❌")&amp;"Divide el problema en funciones chicas y concretas."</f>
        <v/>
      </c>
    </row>
    <row r="29">
      <c r="B29" s="2">
        <f>IF(A29=1,"✅", "❌❗")&amp;"No hay código duplicado."</f>
        <v/>
      </c>
    </row>
    <row r="30">
      <c r="B30" s="2">
        <f>IF(A30=1,"✅", "❌")&amp;"No tiene código mal indentado."</f>
        <v/>
      </c>
    </row>
    <row r="31">
      <c r="B31" s="2">
        <f>IF(A31=1,"✅", "❌")&amp;"No tiene formato irregular (espacios o enters donde no debería)."</f>
        <v/>
      </c>
    </row>
    <row r="32">
      <c r="B32" s="2">
        <f>IF(A32=1,"✅😀", "❌")&amp;"Tiene error handling."</f>
        <v/>
      </c>
    </row>
    <row r="34">
      <c r="B34" s="2" t="inlineStr">
        <is>
          <t>🍝 Calidad del código Front</t>
        </is>
      </c>
    </row>
    <row r="35">
      <c r="B35" s="2">
        <f>IF(A35=1,"✅", "❌")&amp;"Crea componentes genéricos para el boton"</f>
        <v/>
      </c>
    </row>
    <row r="36">
      <c r="B36" s="2">
        <f>IF(A36=1,"✅😀", "❌")&amp;"Crea componentes genéricos para el Contenedor (header + content)"</f>
        <v/>
      </c>
    </row>
    <row r="37">
      <c r="B37" s="2">
        <f>IF(A37=1,"✅", "❌")&amp;"Usa destructuring de las props"</f>
        <v/>
      </c>
    </row>
    <row r="38">
      <c r="B38" s="2">
        <f>IF(A38=1,"✅😀", "❌")&amp;"Utiliza el redux store"</f>
        <v/>
      </c>
    </row>
    <row r="39">
      <c r="B39" s="2">
        <f>IF(A39=1,"✅", "❌")&amp;"Genera otra carpeta para los componentes genéricos"</f>
        <v/>
      </c>
    </row>
    <row r="40">
      <c r="B40" s="2">
        <f>IF(A40=1,"✅", "❌")&amp;"El css está desacoplado"</f>
        <v/>
      </c>
    </row>
    <row r="41">
      <c r="B41" s="2">
        <f>IF(A41=1,"✅", "❌")&amp;"Usa scss"</f>
        <v/>
      </c>
    </row>
    <row r="42">
      <c r="B42" s="2">
        <f>IF(A42=1,"✅", "❌❗")&amp;"Usa solo componentes funcionales o no funcionales (no los mezcla)"</f>
        <v/>
      </c>
    </row>
    <row r="43">
      <c r="B43" s="2">
        <f>IF(A43=1,"✅", "❌")&amp;"Separa las constantes en archivos"</f>
        <v/>
      </c>
    </row>
    <row r="44">
      <c r="B44" s="2">
        <f>IF(A44=1,"✅😀", "❌")&amp;"Arquitectura clara (CSS puesto junto al componente)"</f>
        <v/>
      </c>
    </row>
    <row r="46">
      <c r="B46" s="2" t="inlineStr">
        <is>
          <t>🛠️ Eficacia y Eficiencia</t>
        </is>
      </c>
    </row>
    <row r="47">
      <c r="B47" s="2">
        <f>IF(A47=1,"✅", "❌❗")&amp;"Parte A correcta"</f>
        <v/>
      </c>
    </row>
    <row r="50">
      <c r="A50" s="2" t="inlineStr">
        <is>
          <t>(0 a 3)</t>
        </is>
      </c>
      <c r="B50" s="2" t="inlineStr">
        <is>
          <t>🎚️Nivel</t>
        </is>
      </c>
    </row>
    <row r="51">
      <c r="A51" s="2" t="n">
        <v>3</v>
      </c>
      <c r="B51" s="3">
        <f>SWITCH(A51, 0, "No suficiente", 1, "Trainee", 2, "Junior", 3, "SemiSr")</f>
        <v/>
      </c>
    </row>
    <row r="53">
      <c r="B53" s="2" t="inlineStr">
        <is>
          <t>⭐Aspectos que destacan (positivos o negativos), o impresiones generales</t>
        </is>
      </c>
    </row>
    <row r="56">
      <c r="B56" s="2" t="inlineStr">
        <is>
          <t>📝 Otras notas de corrección</t>
        </is>
      </c>
    </row>
    <row r="57">
      <c r="B57" s="4" t="n"/>
    </row>
    <row r="58">
      <c r="B58" s="4" t="n"/>
    </row>
    <row r="59">
      <c r="B59" s="4" t="n"/>
    </row>
    <row r="60">
      <c r="B60" s="4" t="n"/>
    </row>
    <row r="63">
      <c r="B63" s="2" t="inlineStr">
        <is>
          <t>🎁 Feedback</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2:B50"/>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0</v>
      </c>
      <c r="B3" s="2">
        <f>IF(A3=1,"✅", "❌") &amp; "Explica cómo correr el código."</f>
        <v/>
      </c>
    </row>
    <row r="4">
      <c r="A4" s="2" t="n">
        <v>0</v>
      </c>
      <c r="B4" s="2">
        <f>IF(A4=1,"✅", "❌") &amp; "Documenta la versión de la tecnología en la que programó la prueba."</f>
        <v/>
      </c>
    </row>
    <row r="5">
      <c r="A5" s="2" t="n">
        <v>1</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1</v>
      </c>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A13" s="2" t="n">
        <v>0</v>
      </c>
      <c r="B13" s="2">
        <f>IF(A13=1,"✅😀", "❌")&amp;"Imprime la salida como en la letra."</f>
        <v/>
      </c>
    </row>
    <row r="15">
      <c r="B15" s="2" t="inlineStr">
        <is>
          <t>🍝 Calidad del código</t>
        </is>
      </c>
    </row>
    <row r="16">
      <c r="A16" s="2" t="n">
        <v>1</v>
      </c>
      <c r="B16" s="2">
        <f>IF(A16=1,"✅", "❌") &amp;"Es consistente con la nomenclatura (camelCase o snake_case)"</f>
        <v/>
      </c>
    </row>
    <row r="17">
      <c r="A17" s="2" t="n">
        <v>1</v>
      </c>
      <c r="B17" s="2">
        <f>IF(A17=1,"✅", "❌")&amp;"Los comentarios son adecuados (dicen cosas útiles)."</f>
        <v/>
      </c>
    </row>
    <row r="18">
      <c r="A18" s="2" t="n">
        <v>1</v>
      </c>
      <c r="B18" s="2">
        <f>IF(A18=1,"✅", "❌")&amp;"No hay comentarios excesivos."</f>
        <v/>
      </c>
    </row>
    <row r="19">
      <c r="A19" s="2" t="n">
        <v>1</v>
      </c>
      <c r="B19" s="2">
        <f>IF(A19=1,"✅", "❌")&amp;"Escribe de acuerdo a las convenciones de la tecnología."</f>
        <v/>
      </c>
    </row>
    <row r="20">
      <c r="A20" s="2" t="n">
        <v>1</v>
      </c>
      <c r="B20" s="2">
        <f>IF(A20=1,"✅", "❌")&amp;"Divide el problema en funciones chicas y concretas."</f>
        <v/>
      </c>
    </row>
    <row r="21">
      <c r="A21" s="2" t="n">
        <v>1</v>
      </c>
      <c r="B21" s="2">
        <f>IF(A21=1,"✅", "❌")&amp;"No repite el código de la parte A."</f>
        <v/>
      </c>
    </row>
    <row r="22">
      <c r="A22" s="2" t="n">
        <v>0</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0</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1</v>
      </c>
      <c r="B30" s="2">
        <f>IF(A30=1,"✅", "❌")&amp;"Busca un set reducido (ej: ordenar por los que usan más módulos)."</f>
        <v/>
      </c>
    </row>
    <row r="31">
      <c r="A31" s="2" t="n">
        <v>1</v>
      </c>
      <c r="B31" s="2">
        <f>IF(A31=1,"✅😀", "❌")&amp;"Asegura el set mínimo (ej: backtracking, generar todo, etc)."</f>
        <v/>
      </c>
    </row>
    <row r="33">
      <c r="A33" s="2" t="inlineStr">
        <is>
          <t>(0 a 3)</t>
        </is>
      </c>
      <c r="B33" s="2" t="inlineStr">
        <is>
          <t>🎚️Nivel</t>
        </is>
      </c>
    </row>
    <row r="34">
      <c r="A34" s="2" t="n">
        <v>2</v>
      </c>
      <c r="B34" s="3">
        <f>SWITCH(A34, 0, "No suficiente", 1, "Trainee", 2, "Junior", 3, "SemiSr")</f>
        <v/>
      </c>
    </row>
    <row r="36">
      <c r="B36" s="2" t="inlineStr">
        <is>
          <t>⭐Aspectos que destacan (positivos o negativos), o impresiones generales</t>
        </is>
      </c>
    </row>
    <row r="37">
      <c r="B37" s="2" t="inlineStr">
        <is>
          <t>Es desprolijo por hardcodear límites a la búsqueda de solución</t>
        </is>
      </c>
    </row>
    <row r="39">
      <c r="B39" s="2" t="inlineStr">
        <is>
          <t>📝 Otras notas de corrección</t>
        </is>
      </c>
    </row>
    <row r="40">
      <c r="B40" s="4" t="inlineStr">
        <is>
          <t>La documentación dice "correr el archivo", no es suficiente</t>
        </is>
      </c>
    </row>
    <row r="41">
      <c r="B41" s="4" t="inlineStr">
        <is>
          <t>Indica como cambiar el path, pero no esta en un lugar "fácil" del código</t>
        </is>
      </c>
    </row>
    <row r="42">
      <c r="B42" s="5" t="inlineStr">
        <is>
          <t>En la parte A duplica el código para generar la salida</t>
        </is>
      </c>
    </row>
    <row r="43">
      <c r="B43" s="4" t="inlineStr">
        <is>
          <t>En la parte B hardcodea la cantidad de cosas a generar, lo cual puede no generar una solución si hay más módulos</t>
        </is>
      </c>
    </row>
    <row r="44">
      <c r="B44" s="4" t="inlineStr">
        <is>
          <t>Más allá de eso, demuestra conocimiento de Python (usa cosas "avanzadas" del lenguaje: itertools)</t>
        </is>
      </c>
    </row>
    <row r="45">
      <c r="B45" s="5" t="inlineStr">
        <is>
          <t>Una variable está mal escrita (posibilities)</t>
        </is>
      </c>
    </row>
    <row r="46">
      <c r="B46" s="2" t="inlineStr">
        <is>
          <t>Parece ser bueno técnicamente, pero desprolijo</t>
        </is>
      </c>
    </row>
    <row r="48">
      <c r="B48" s="2" t="inlineStr">
        <is>
          <t>🎁 Feedback</t>
        </is>
      </c>
    </row>
    <row r="49">
      <c r="B49" s="2" t="inlineStr">
        <is>
          <t>Tené cuidado con utilizar límites que dependen de los datos de entrada. Dejas fijo el máximo de combinaciones que probas.</t>
        </is>
      </c>
    </row>
    <row r="50">
      <c r="B50" s="2" t="inlineStr">
        <is>
          <t>Sería más claro que utilizaras el valor de retorno de una función en vez de usar los parámetros como "in-out"</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2:B47"/>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0</v>
      </c>
      <c r="B4" s="2">
        <f>IF(A4=1,"✅", "❌") &amp; "Documenta la versión de la tecnología en la que programó la prueba."</f>
        <v/>
      </c>
    </row>
    <row r="5">
      <c r="A5" s="2" t="n">
        <v>1</v>
      </c>
      <c r="B5" s="2">
        <f>IF(A5=1,"✅", "❌") &amp; "Explica cómo funciona el código, o elecciones que se tomaron, o condiciones particulares"</f>
        <v/>
      </c>
    </row>
    <row r="7">
      <c r="B7" s="2" t="inlineStr">
        <is>
          <t>👨🏻‍💻 Usabilidad</t>
        </is>
      </c>
    </row>
    <row r="8">
      <c r="A8" s="2" t="n">
        <v>0</v>
      </c>
      <c r="B8" s="2">
        <f>IF(A8=1,"✅", "❌") &amp; "El output es consistente (todo por consola o todo por archivos)."</f>
        <v/>
      </c>
    </row>
    <row r="9">
      <c r="A9" s="2" t="n">
        <v>1</v>
      </c>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A13" s="2" t="n">
        <v>0</v>
      </c>
      <c r="B13" s="2">
        <f>IF(A13=1,"✅😀", "❌")&amp;"Imprime la salida como en la letra."</f>
        <v/>
      </c>
    </row>
    <row r="15">
      <c r="B15" s="2" t="inlineStr">
        <is>
          <t>🍝 Calidad del código</t>
        </is>
      </c>
    </row>
    <row r="16">
      <c r="A16" s="2" t="n">
        <v>1</v>
      </c>
      <c r="B16" s="2">
        <f>IF(A16=1,"✅", "❌") &amp;"Es consistente con la nomenclatura (camelCase o snake_case)"</f>
        <v/>
      </c>
    </row>
    <row r="17">
      <c r="A17" s="2" t="n">
        <v>1</v>
      </c>
      <c r="B17" s="2">
        <f>IF(A17=1,"✅", "❌")&amp;"Los comentarios son adecuados (dicen cosas útiles)."</f>
        <v/>
      </c>
    </row>
    <row r="18">
      <c r="A18" s="2" t="n">
        <v>1</v>
      </c>
      <c r="B18" s="2">
        <f>IF(A18=1,"✅", "❌")&amp;"No hay comentarios excesivos."</f>
        <v/>
      </c>
    </row>
    <row r="19">
      <c r="A19" s="2" t="n">
        <v>1</v>
      </c>
      <c r="B19" s="2">
        <f>IF(A19=1,"✅", "❌")&amp;"Escribe de acuerdo a las convenciones de la tecnología."</f>
        <v/>
      </c>
    </row>
    <row r="20">
      <c r="A20" s="2" t="n">
        <v>1</v>
      </c>
      <c r="B20" s="2">
        <f>IF(A20=1,"✅", "❌")&amp;"Divide el problema en funciones chicas y concretas."</f>
        <v/>
      </c>
    </row>
    <row r="21">
      <c r="A21" s="2" t="n">
        <v>0</v>
      </c>
      <c r="B21" s="2">
        <f>IF(A21=1,"✅", "❌")&amp;"No repite el código de la parte A."</f>
        <v/>
      </c>
    </row>
    <row r="22">
      <c r="A22" s="2" t="n">
        <v>1</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1</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1</v>
      </c>
      <c r="B30" s="2">
        <f>IF(A30=1,"✅", "❌")&amp;"Busca un set reducido (ej: ordenar por los que usan más módulos)."</f>
        <v/>
      </c>
    </row>
    <row r="31">
      <c r="A31" s="2" t="n">
        <v>1</v>
      </c>
      <c r="B31" s="2">
        <f>IF(A31=1,"✅😀", "❌")&amp;"Asegura el set mínimo (ej: backtracking, generar todo, etc)."</f>
        <v/>
      </c>
    </row>
    <row r="33">
      <c r="A33" s="2" t="inlineStr">
        <is>
          <t>(0 a 3)</t>
        </is>
      </c>
      <c r="B33" s="2" t="inlineStr">
        <is>
          <t>🎚️Nivel</t>
        </is>
      </c>
    </row>
    <row r="34">
      <c r="A34" s="2" t="n">
        <v>3</v>
      </c>
      <c r="B34" s="3">
        <f>SWITCH(A34, 0, "No suficiente", 1, "Trainee", 2, "Junior", 3, "SemiSr")</f>
        <v/>
      </c>
    </row>
    <row r="36">
      <c r="B36" s="2" t="inlineStr">
        <is>
          <t>⭐Aspectos que destacan (positivos o negativos), o impresiones generales</t>
        </is>
      </c>
    </row>
    <row r="37">
      <c r="B37" s="2" t="inlineStr">
        <is>
          <t>(+) Organizado</t>
        </is>
      </c>
    </row>
    <row r="39">
      <c r="B39" s="2" t="inlineStr">
        <is>
          <t>📝 Otras notas de corrección</t>
        </is>
      </c>
    </row>
    <row r="40">
      <c r="B40" s="4" t="inlineStr">
        <is>
          <t>No repite exactamente el código de la parte A, ya que arma una estructura distinta, pero hubiera estado mejor no repetir</t>
        </is>
      </c>
    </row>
    <row r="41">
      <c r="B41" s="4" t="inlineStr">
        <is>
          <t>Muestra buen conocimiento de Python</t>
        </is>
      </c>
    </row>
    <row r="42">
      <c r="B42" s="4" t="n"/>
    </row>
    <row r="43">
      <c r="B43" s="4" t="n"/>
    </row>
    <row r="46">
      <c r="B46" s="2" t="inlineStr">
        <is>
          <t>🎁 Feedback</t>
        </is>
      </c>
    </row>
    <row r="47">
      <c r="B47" s="2" t="inlineStr">
        <is>
          <t>La única mejora es agregar unit tests, y tratar de reutilizar el código de la parte A en la parte B</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2:B47"/>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0</v>
      </c>
      <c r="B4" s="2">
        <f>IF(A4=1,"✅", "❌") &amp; "Documenta la versión de la tecnología en la que programó la prueba."</f>
        <v/>
      </c>
    </row>
    <row r="5">
      <c r="A5" s="2" t="n">
        <v>0</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0</v>
      </c>
      <c r="B9" s="2">
        <f>IF(A9=1,"✅", "❌") &amp; "Parametriza los archivos en la ejecución (archivo de config, o constante)"</f>
        <v/>
      </c>
    </row>
    <row r="10">
      <c r="A10" s="2" t="n">
        <v>0</v>
      </c>
      <c r="B10" s="2">
        <f>IF(A10=1,"✅", "❌") &amp; "No hardcodea el nombre de archivos (u*.json)"</f>
        <v/>
      </c>
    </row>
    <row r="11">
      <c r="A11" s="2" t="n">
        <v>0</v>
      </c>
      <c r="B11" s="2">
        <f>IF(A11=1,"✅", "❌❗") &amp; "No hardcodea la cantidad de archivos (20)"</f>
        <v/>
      </c>
    </row>
    <row r="12">
      <c r="A12" s="2" t="n">
        <v>0</v>
      </c>
      <c r="B12" s="2">
        <f>IF(A12=1,"✅", "❌❗") &amp; "No hardcodea los providers que espera encontrar (authx.provider_y)"</f>
        <v/>
      </c>
    </row>
    <row r="13">
      <c r="A13" s="2" t="n">
        <v>0</v>
      </c>
      <c r="B13" s="2">
        <f>IF(A13=1,"✅😀", "❌")&amp;"Imprime la salida como en la letra."</f>
        <v/>
      </c>
    </row>
    <row r="15">
      <c r="B15" s="2" t="inlineStr">
        <is>
          <t>🍝 Calidad del código</t>
        </is>
      </c>
    </row>
    <row r="16">
      <c r="A16" s="2" t="n">
        <v>1</v>
      </c>
      <c r="B16" s="2">
        <f>IF(A16=1,"✅", "❌") &amp;"Es consistente con la nomenclatura (camelCase o snake_case)"</f>
        <v/>
      </c>
    </row>
    <row r="17">
      <c r="A17" s="2" t="n">
        <v>0</v>
      </c>
      <c r="B17" s="2">
        <f>IF(A17=1,"✅", "❌")&amp;"Los comentarios son adecuados (dicen cosas útiles)."</f>
        <v/>
      </c>
    </row>
    <row r="18">
      <c r="A18" s="2" t="n">
        <v>0</v>
      </c>
      <c r="B18" s="2">
        <f>IF(A18=1,"✅", "❌")&amp;"No hay comentarios excesivos."</f>
        <v/>
      </c>
    </row>
    <row r="19">
      <c r="A19" s="2" t="n">
        <v>1</v>
      </c>
      <c r="B19" s="2">
        <f>IF(A19=1,"✅", "❌")&amp;"Escribe de acuerdo a las convenciones de la tecnología."</f>
        <v/>
      </c>
    </row>
    <row r="20">
      <c r="A20" s="2" t="n">
        <v>1</v>
      </c>
      <c r="B20" s="2">
        <f>IF(A20=1,"✅", "❌")&amp;"Divide el problema en funciones chicas y concretas."</f>
        <v/>
      </c>
    </row>
    <row r="21">
      <c r="A21" s="2" t="n">
        <v>1</v>
      </c>
      <c r="B21" s="2">
        <f>IF(A21=1,"✅", "❌")&amp;"No repite el código de la parte A."</f>
        <v/>
      </c>
    </row>
    <row r="22">
      <c r="A22" s="2" t="n">
        <v>1</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0</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0</v>
      </c>
      <c r="B30" s="2">
        <f>IF(A30=1,"✅", "❌")&amp;"Busca un set reducido (ej: ordenar por los que usan más módulos)."</f>
        <v/>
      </c>
    </row>
    <row r="31">
      <c r="A31" s="2" t="n">
        <v>0</v>
      </c>
      <c r="B31" s="2">
        <f>IF(A31=1,"✅😀", "❌")&amp;"Asegura el set mínimo (ej: backtracking, generar todo, etc)."</f>
        <v/>
      </c>
    </row>
    <row r="33">
      <c r="A33" s="2" t="inlineStr">
        <is>
          <t>(0 a 3)</t>
        </is>
      </c>
      <c r="B33" s="2" t="inlineStr">
        <is>
          <t>🎚️Nivel</t>
        </is>
      </c>
    </row>
    <row r="34">
      <c r="A34" s="2" t="n">
        <v>0</v>
      </c>
      <c r="B34" s="3">
        <f>SWITCH(A34, 0, "No suficiente", 1, "Trainee", 2, "Junior", 3, "SemiSr")</f>
        <v/>
      </c>
    </row>
    <row r="36">
      <c r="B36" s="2" t="inlineStr">
        <is>
          <t>⭐Aspectos que destacan (positivos o negativos), o impresiones generales</t>
        </is>
      </c>
    </row>
    <row r="37">
      <c r="B37" s="2" t="inlineStr">
        <is>
          <t>(-) Todo en la parte A esta hardcodeado</t>
        </is>
      </c>
    </row>
    <row r="39">
      <c r="B39" s="2" t="inlineStr">
        <is>
          <t>📝 Otras notas de corrección</t>
        </is>
      </c>
    </row>
    <row r="40">
      <c r="B40" s="4" t="inlineStr">
        <is>
          <t>Users es global pero la pasa por parámetro (y la función no toma parámetros)</t>
        </is>
      </c>
    </row>
    <row r="41">
      <c r="B41" s="4" t="n"/>
    </row>
    <row r="42">
      <c r="B42" s="4" t="n"/>
    </row>
    <row r="43">
      <c r="B43" s="4" t="n"/>
    </row>
    <row r="46">
      <c r="B46" s="2" t="inlineStr">
        <is>
          <t>🎁 Feedback</t>
        </is>
      </c>
    </row>
    <row r="47">
      <c r="B47" s="2" t="inlineStr">
        <is>
          <t>Tendrías que concentrarte en ver cómo realizar soluciones génericas, en las que puedas cambiar los archivos que se usan</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2:B47"/>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1</v>
      </c>
      <c r="B4" s="2">
        <f>IF(A4=1,"✅", "❌") &amp; "Documenta la versión de la tecnología en la que programó la prueba."</f>
        <v/>
      </c>
    </row>
    <row r="5">
      <c r="A5" s="2" t="n">
        <v>0</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0</v>
      </c>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A13" s="2" t="n">
        <v>0</v>
      </c>
      <c r="B13" s="2">
        <f>IF(A13=1,"✅😀", "❌")&amp;"Imprime la salida como en la letra."</f>
        <v/>
      </c>
    </row>
    <row r="15">
      <c r="B15" s="2" t="inlineStr">
        <is>
          <t>🍝 Calidad del código</t>
        </is>
      </c>
    </row>
    <row r="16">
      <c r="A16" s="2" t="n">
        <v>0</v>
      </c>
      <c r="B16" s="2">
        <f>IF(A16=1,"✅", "❌") &amp;"Es consistente con la nomenclatura (camelCase o snake_case)"</f>
        <v/>
      </c>
    </row>
    <row r="17">
      <c r="A17" s="2" t="n">
        <v>1</v>
      </c>
      <c r="B17" s="2">
        <f>IF(A17=1,"✅", "❌")&amp;"Los comentarios son adecuados (dicen cosas útiles)."</f>
        <v/>
      </c>
    </row>
    <row r="18">
      <c r="A18" s="2" t="n">
        <v>1</v>
      </c>
      <c r="B18" s="2">
        <f>IF(A18=1,"✅", "❌")&amp;"No hay comentarios excesivos."</f>
        <v/>
      </c>
    </row>
    <row r="19">
      <c r="A19" s="2" t="n">
        <v>1</v>
      </c>
      <c r="B19" s="2">
        <f>IF(A19=1,"✅", "❌")&amp;"Escribe de acuerdo a las convenciones de la tecnología."</f>
        <v/>
      </c>
    </row>
    <row r="20">
      <c r="A20" s="2" t="n">
        <v>0</v>
      </c>
      <c r="B20" s="2">
        <f>IF(A20=1,"✅", "❌")&amp;"Divide el problema en funciones chicas y concretas."</f>
        <v/>
      </c>
    </row>
    <row r="21">
      <c r="A21" s="2" t="n">
        <v>1</v>
      </c>
      <c r="B21" s="2">
        <f>IF(A21=1,"✅", "❌")&amp;"No repite el código de la parte A."</f>
        <v/>
      </c>
    </row>
    <row r="22">
      <c r="A22" s="2" t="n">
        <v>1</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1</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0</v>
      </c>
      <c r="B30" s="2">
        <f>IF(A30=1,"✅", "❌")&amp;"Busca un set reducido (ej: ordenar por los que usan más módulos)."</f>
        <v/>
      </c>
    </row>
    <row r="31">
      <c r="A31" s="2" t="n">
        <v>0</v>
      </c>
      <c r="B31" s="2">
        <f>IF(A31=1,"✅😀", "❌")&amp;"Asegura el set mínimo (ej: backtracking, generar todo, etc)."</f>
        <v/>
      </c>
    </row>
    <row r="33">
      <c r="A33" s="2" t="inlineStr">
        <is>
          <t>(0 a 3)</t>
        </is>
      </c>
      <c r="B33" s="2" t="inlineStr">
        <is>
          <t>🎚️Nivel</t>
        </is>
      </c>
    </row>
    <row r="34">
      <c r="A34" s="2" t="n">
        <v>1</v>
      </c>
      <c r="B34" s="3">
        <f>SWITCH(A34, 0, "No suficiente", 1, "Trainee", 2, "Junior", 3, "SemiSr")</f>
        <v/>
      </c>
    </row>
    <row r="36">
      <c r="B36" s="2" t="inlineStr">
        <is>
          <t>⭐Aspectos que destacan (positivos o negativos), o impresiones generales</t>
        </is>
      </c>
    </row>
    <row r="37">
      <c r="B37" s="2" t="inlineStr">
        <is>
          <t>(+) Le falta por crecer, pero con todo es bastante limpio el código</t>
        </is>
      </c>
    </row>
    <row r="39">
      <c r="B39" s="2" t="inlineStr">
        <is>
          <t>📝 Otras notas de corrección</t>
        </is>
      </c>
    </row>
    <row r="40">
      <c r="B40" s="4" t="inlineStr">
        <is>
          <t>Es Java, asi que el error handling es obligatorio</t>
        </is>
      </c>
    </row>
    <row r="41">
      <c r="B41" s="4" t="inlineStr">
        <is>
          <t>La parte B es entreverada</t>
        </is>
      </c>
    </row>
    <row r="42">
      <c r="B42" s="4" t="inlineStr">
        <is>
          <t>Le haría bien poner más comentarios</t>
        </is>
      </c>
    </row>
    <row r="43">
      <c r="B43" s="4" t="n"/>
    </row>
    <row r="46">
      <c r="B46" s="2" t="inlineStr">
        <is>
          <t>🎁 Feedback</t>
        </is>
      </c>
    </row>
    <row r="47">
      <c r="B47" s="2" t="inlineStr">
        <is>
          <t>Sería más fácil de entender el código si pusieras comentarios explicando qué estás intentando hacer</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2:B48"/>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0</v>
      </c>
      <c r="B4" s="2">
        <f>IF(A4=1,"✅", "❌") &amp; "Documenta la versión de la tecnología en la que programó la prueba."</f>
        <v/>
      </c>
    </row>
    <row r="5">
      <c r="A5" s="2" t="n">
        <v>1</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1</v>
      </c>
      <c r="B9" s="2">
        <f>IF(A9=1,"✅", "❌") &amp; "Parametriza los archivos en la ejecución (archivo de config, o constante)"</f>
        <v/>
      </c>
    </row>
    <row r="10">
      <c r="A10" s="2" t="n">
        <v>0</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A13" s="2" t="n">
        <v>0</v>
      </c>
      <c r="B13" s="2">
        <f>IF(A13=1,"✅😀", "❌")&amp;"Imprime la salida como en la letra."</f>
        <v/>
      </c>
    </row>
    <row r="15">
      <c r="B15" s="2" t="inlineStr">
        <is>
          <t>🍝 Calidad del código</t>
        </is>
      </c>
    </row>
    <row r="16">
      <c r="A16" s="2" t="n">
        <v>1</v>
      </c>
      <c r="B16" s="2">
        <f>IF(A16=1,"✅", "❌") &amp;"Es consistente con la nomenclatura (camelCase o snake_case)"</f>
        <v/>
      </c>
    </row>
    <row r="17">
      <c r="A17" s="2" t="n">
        <v>0</v>
      </c>
      <c r="B17" s="2">
        <f>IF(A17=1,"✅", "❌")&amp;"Los comentarios son adecuados (dicen cosas útiles)."</f>
        <v/>
      </c>
    </row>
    <row r="18">
      <c r="A18" s="2" t="n">
        <v>1</v>
      </c>
      <c r="B18" s="2">
        <f>IF(A18=1,"✅", "❌")&amp;"No hay comentarios excesivos."</f>
        <v/>
      </c>
    </row>
    <row r="19">
      <c r="A19" s="2" t="n">
        <v>1</v>
      </c>
      <c r="B19" s="2">
        <f>IF(A19=1,"✅", "❌")&amp;"Escribe de acuerdo a las convenciones de la tecnología."</f>
        <v/>
      </c>
    </row>
    <row r="20">
      <c r="A20" s="2" t="n">
        <v>1</v>
      </c>
      <c r="B20" s="2">
        <f>IF(A20=1,"✅", "❌")&amp;"Divide el problema en funciones chicas y concretas."</f>
        <v/>
      </c>
    </row>
    <row r="21">
      <c r="A21" s="2" t="n">
        <v>1</v>
      </c>
      <c r="B21" s="2">
        <f>IF(A21=1,"✅", "❌")&amp;"No repite el código de la parte A."</f>
        <v/>
      </c>
    </row>
    <row r="22">
      <c r="A22" s="2" t="n">
        <v>1</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0</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1</v>
      </c>
      <c r="B30" s="2">
        <f>IF(A30=1,"✅", "❌")&amp;"Busca un set reducido (ej: ordenar por los que usan más módulos)."</f>
        <v/>
      </c>
    </row>
    <row r="31">
      <c r="A31" s="2" t="n">
        <v>1</v>
      </c>
      <c r="B31" s="2">
        <f>IF(A31=1,"✅😀", "❌")&amp;"Asegura el set mínimo (ej: backtracking, generar todo, etc)."</f>
        <v/>
      </c>
    </row>
    <row r="33">
      <c r="A33" s="2" t="inlineStr">
        <is>
          <t>(0 a 3)</t>
        </is>
      </c>
      <c r="B33" s="2" t="inlineStr">
        <is>
          <t>🎚️Nivel</t>
        </is>
      </c>
    </row>
    <row r="34">
      <c r="A34" s="2" t="n">
        <v>2</v>
      </c>
      <c r="B34" s="3">
        <f>SWITCH(A34, 0, "No suficiente", 1, "Trainee", 2, "Junior", 3, "SemiSr")</f>
        <v/>
      </c>
    </row>
    <row r="36">
      <c r="B36" s="2" t="inlineStr">
        <is>
          <t>⭐Aspectos que destacan (positivos o negativos), o impresiones generales</t>
        </is>
      </c>
    </row>
    <row r="37">
      <c r="B37" s="2" t="inlineStr">
        <is>
          <t>(-) La solución es más compleja de lo necesaria</t>
        </is>
      </c>
    </row>
    <row r="39">
      <c r="B39" s="2" t="inlineStr">
        <is>
          <t>📝 Otras notas de corrección</t>
        </is>
      </c>
    </row>
    <row r="40">
      <c r="B40" s="4" t="inlineStr">
        <is>
          <t>No hardcodea la cantidad de archivos, pero es un valor de configuración (en vez de leer todos los archivos de la carpeta)</t>
        </is>
      </c>
    </row>
    <row r="41">
      <c r="B41" s="4" t="inlineStr">
        <is>
          <t>Mucho boilerplate. La solución es mucho más compleja de lo necesaria.</t>
        </is>
      </c>
    </row>
    <row r="42">
      <c r="B42" s="4" t="inlineStr">
        <is>
          <t>Le faltan más comentarios explicativos</t>
        </is>
      </c>
    </row>
    <row r="43">
      <c r="B43" s="4" t="n"/>
    </row>
    <row r="46">
      <c r="B46" s="2" t="inlineStr">
        <is>
          <t>🎁 Feedback</t>
        </is>
      </c>
    </row>
    <row r="47">
      <c r="B47" s="2" t="inlineStr">
        <is>
          <t>Hubiera sido más sencillo realizarlo como herramienta de línea de comandos en vez de un servidor</t>
        </is>
      </c>
    </row>
    <row r="48">
      <c r="B48" s="2" t="inlineStr">
        <is>
          <t>Sería bueno agregar un poco más de comentarios explicando qué es lo que está haciendo el código.</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2:B47"/>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0</v>
      </c>
      <c r="B4" s="2">
        <f>IF(A4=1,"✅", "❌") &amp; "Documenta la versión de la tecnología en la que programó la prueba."</f>
        <v/>
      </c>
    </row>
    <row r="5">
      <c r="A5" s="2" t="n">
        <v>1</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1</v>
      </c>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A13" s="2" t="n">
        <v>0</v>
      </c>
      <c r="B13" s="2">
        <f>IF(A13=1,"✅😀", "❌")&amp;"Imprime la salida como en la letra."</f>
        <v/>
      </c>
    </row>
    <row r="15">
      <c r="B15" s="2" t="inlineStr">
        <is>
          <t>🍝 Calidad del código</t>
        </is>
      </c>
    </row>
    <row r="16">
      <c r="A16" s="2" t="n">
        <v>1</v>
      </c>
      <c r="B16" s="2">
        <f>IF(A16=1,"✅", "❌") &amp;"Es consistente con la nomenclatura (camelCase o snake_case)"</f>
        <v/>
      </c>
    </row>
    <row r="17">
      <c r="A17" s="2" t="n">
        <v>1</v>
      </c>
      <c r="B17" s="2">
        <f>IF(A17=1,"✅", "❌")&amp;"Los comentarios son adecuados (dicen cosas útiles)."</f>
        <v/>
      </c>
    </row>
    <row r="18">
      <c r="A18" s="2" t="n">
        <v>1</v>
      </c>
      <c r="B18" s="2">
        <f>IF(A18=1,"✅", "❌")&amp;"No hay comentarios excesivos."</f>
        <v/>
      </c>
    </row>
    <row r="19">
      <c r="A19" s="2" t="n">
        <v>1</v>
      </c>
      <c r="B19" s="2">
        <f>IF(A19=1,"✅", "❌")&amp;"Escribe de acuerdo a las convenciones de la tecnología."</f>
        <v/>
      </c>
    </row>
    <row r="20">
      <c r="A20" s="2" t="n">
        <v>0</v>
      </c>
      <c r="B20" s="2">
        <f>IF(A20=1,"✅", "❌")&amp;"Divide el problema en funciones chicas y concretas."</f>
        <v/>
      </c>
    </row>
    <row r="21">
      <c r="A21" s="2" t="n">
        <v>1</v>
      </c>
      <c r="B21" s="2">
        <f>IF(A21=1,"✅", "❌")&amp;"No repite el código de la parte A."</f>
        <v/>
      </c>
    </row>
    <row r="22">
      <c r="A22" s="2" t="n">
        <v>1</v>
      </c>
      <c r="B22" s="2">
        <f>IF(A22=1,"✅", "❌❗")&amp;"No hay código duplicado."</f>
        <v/>
      </c>
    </row>
    <row r="23">
      <c r="A23" s="2" t="n">
        <v>1</v>
      </c>
      <c r="B23" s="2">
        <f>IF(A23=1,"✅", "❌")&amp;"No tiene código mal indentado."</f>
        <v/>
      </c>
    </row>
    <row r="24">
      <c r="A24" s="2" t="n">
        <v>1</v>
      </c>
      <c r="B24" s="2">
        <f>IF(A24=1,"✅", "❌")&amp;"No tiene formato irregular (espacios o enters donde no debería)."</f>
        <v/>
      </c>
    </row>
    <row r="25">
      <c r="A25" s="2" t="n">
        <v>1</v>
      </c>
      <c r="B25" s="2">
        <f>IF(A25=1,"✅😀", "❌")&amp;"Tiene error handling."</f>
        <v/>
      </c>
    </row>
    <row r="27">
      <c r="B27" s="2" t="inlineStr">
        <is>
          <t>🛠️ Eficacia y Eficiencia</t>
        </is>
      </c>
    </row>
    <row r="28">
      <c r="A28" s="2" t="n">
        <v>1</v>
      </c>
      <c r="B28" s="2">
        <f>IF(A28=1,"✅", "❌❗")&amp;"Parte A correcta"</f>
        <v/>
      </c>
    </row>
    <row r="29">
      <c r="A29" s="2" t="n">
        <v>1</v>
      </c>
      <c r="B29" s="2">
        <f>IF(A29=1,"✅", "❌❗")&amp;"Consigue un set de usuarios que cubren todos los módulos."</f>
        <v/>
      </c>
    </row>
    <row r="30">
      <c r="A30" s="2" t="n">
        <v>1</v>
      </c>
      <c r="B30" s="2">
        <f>IF(A30=1,"✅", "❌")&amp;"Busca un set reducido (ej: ordenar por los que usan más módulos)."</f>
        <v/>
      </c>
    </row>
    <row r="31">
      <c r="A31" s="2" t="n">
        <v>0</v>
      </c>
      <c r="B31" s="2">
        <f>IF(A31=1,"✅😀", "❌")&amp;"Asegura el set mínimo (ej: backtracking, generar todo, etc)."</f>
        <v/>
      </c>
    </row>
    <row r="33">
      <c r="A33" s="2" t="inlineStr">
        <is>
          <t>(0 a 3)</t>
        </is>
      </c>
      <c r="B33" s="2" t="inlineStr">
        <is>
          <t>🎚️Nivel</t>
        </is>
      </c>
    </row>
    <row r="34">
      <c r="A34" s="2" t="n">
        <v>1</v>
      </c>
      <c r="B34" s="3">
        <f>SWITCH(A34, 0, "No suficiente", 1, "Trainee", 2, "Junior", 3, "SemiSr")</f>
        <v/>
      </c>
    </row>
    <row r="36">
      <c r="B36" s="2" t="inlineStr">
        <is>
          <t>⭐Aspectos que destacan (positivos o negativos), o impresiones generales</t>
        </is>
      </c>
    </row>
    <row r="37">
      <c r="B37" s="2" t="inlineStr">
        <is>
          <t>Me gusta que maneja excepciones!</t>
        </is>
      </c>
    </row>
    <row r="39">
      <c r="B39" s="2" t="inlineStr">
        <is>
          <t>📝 Otras notas de corrección</t>
        </is>
      </c>
    </row>
    <row r="40">
      <c r="B40" s="4" t="inlineStr">
        <is>
          <t>Algunos comentarios son innecesarios.</t>
        </is>
      </c>
    </row>
    <row r="41">
      <c r="B41" s="4" t="inlineStr">
        <is>
          <t>La parte B devuelve 6</t>
        </is>
      </c>
    </row>
    <row r="42">
      <c r="B42" s="4" t="n"/>
    </row>
    <row r="43">
      <c r="B43" s="4" t="n"/>
    </row>
    <row r="46">
      <c r="B46" s="2" t="inlineStr">
        <is>
          <t>🎁 Feedback</t>
        </is>
      </c>
    </row>
    <row r="47">
      <c r="B47" s="4" t="inlineStr">
        <is>
          <t>Esta prolijo</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2:B64"/>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A4" s="2" t="n">
        <v>0</v>
      </c>
      <c r="B4" s="2">
        <f>IF(A4=1,"✅", "❌") &amp; "Documenta la versión de la tecnología en la que programó la prueba."</f>
        <v/>
      </c>
    </row>
    <row r="5">
      <c r="A5" s="2" t="n">
        <v>0</v>
      </c>
      <c r="B5" s="2">
        <f>IF(A5=1,"✅", "❌") &amp; "Explica cómo funciona el código, o elecciones que se tomaron, o condiciones particulares"</f>
        <v/>
      </c>
    </row>
    <row r="7">
      <c r="B7" s="2" t="inlineStr">
        <is>
          <t>👨🏻‍💻 Usabilidad</t>
        </is>
      </c>
    </row>
    <row r="8">
      <c r="A8" s="2" t="n">
        <v>1</v>
      </c>
      <c r="B8" s="2">
        <f>IF(A8=1,"✅", "❌") &amp; "El output es consistente (todo por consola o todo por archivos)."</f>
        <v/>
      </c>
    </row>
    <row r="9">
      <c r="A9" s="2" t="n">
        <v>0</v>
      </c>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B13" s="2" t="n"/>
    </row>
    <row r="14">
      <c r="B14" s="2" t="inlineStr">
        <is>
          <t>👨🏻‍💻 Usabilidad Front</t>
        </is>
      </c>
    </row>
    <row r="15">
      <c r="A15" s="2" t="n">
        <v>1</v>
      </c>
      <c r="B15" s="2">
        <f>IF(A15=1,"✅", "❌")&amp;"Queda seleccionado el boton del modulo o submodulo"</f>
        <v/>
      </c>
    </row>
    <row r="16">
      <c r="A16" s="2" t="n">
        <v>1</v>
      </c>
      <c r="B16" s="2">
        <f>IF(A16=1,"✅", "❌")&amp;"Los headers dicen lo que pide la letra"</f>
        <v/>
      </c>
    </row>
    <row r="17">
      <c r="A17" s="2" t="n">
        <v>1</v>
      </c>
      <c r="B17" s="2">
        <f>IF(A17=1,"✅", "❌")&amp;"Los botones dicen lo que pide la letra"</f>
        <v/>
      </c>
    </row>
    <row r="18">
      <c r="A18" s="2" t="n">
        <v>0</v>
      </c>
      <c r="B18" s="2">
        <f>IF(A18=1,"✅", "❌")&amp;"Se utiliza el ruteo de react"</f>
        <v/>
      </c>
    </row>
    <row r="19">
      <c r="A19" s="2" t="n">
        <v>1</v>
      </c>
      <c r="B19" s="2">
        <f>IF(A19=1,"✅", "❌")&amp;"Similitud visual del modulo a la letra"</f>
        <v/>
      </c>
    </row>
    <row r="20">
      <c r="A20" s="2" t="n">
        <v>1</v>
      </c>
      <c r="B20" s="2">
        <f>IF(A20=1,"✅", "❌")&amp;"Similitud visual de los botones a la letra"</f>
        <v/>
      </c>
    </row>
    <row r="21">
      <c r="A21" s="2" t="n">
        <v>1</v>
      </c>
      <c r="B21" s="2">
        <f>IF(A21=1,"✅", "❌")&amp;"Responsive"</f>
        <v/>
      </c>
    </row>
    <row r="22">
      <c r="B22" s="2" t="n"/>
    </row>
    <row r="23">
      <c r="B23" s="2" t="inlineStr">
        <is>
          <t>🍝 Calidad del código</t>
        </is>
      </c>
    </row>
    <row r="24">
      <c r="A24" s="2" t="n">
        <v>1</v>
      </c>
      <c r="B24" s="2">
        <f>IF(A24=1,"✅", "❌") &amp;"Es consistente con la nomenclatura (camelCase o snake_case)"</f>
        <v/>
      </c>
    </row>
    <row r="25">
      <c r="A25" s="2" t="n">
        <v>1</v>
      </c>
      <c r="B25" s="2">
        <f>IF(A25=1,"✅", "❌")&amp;"Los comentarios son adecuados (dicen cosas útiles)."</f>
        <v/>
      </c>
    </row>
    <row r="26">
      <c r="A26" s="2" t="n">
        <v>1</v>
      </c>
      <c r="B26" s="2">
        <f>IF(A26=1,"✅", "❌")&amp;"No hay comentarios excesivos."</f>
        <v/>
      </c>
    </row>
    <row r="27">
      <c r="A27" s="2" t="n">
        <v>1</v>
      </c>
      <c r="B27" s="2">
        <f>IF(A27=1,"✅", "❌")&amp;"Escribe de acuerdo a las convenciones de la tecnología."</f>
        <v/>
      </c>
    </row>
    <row r="28">
      <c r="A28" s="2" t="n">
        <v>1</v>
      </c>
      <c r="B28" s="2">
        <f>IF(A28=1,"✅", "❌")&amp;"Divide el problema en funciones chicas y concretas."</f>
        <v/>
      </c>
    </row>
    <row r="29">
      <c r="A29" s="2" t="n">
        <v>1</v>
      </c>
      <c r="B29" s="2">
        <f>IF(A29=1,"✅", "❌❗")&amp;"No hay código duplicado."</f>
        <v/>
      </c>
    </row>
    <row r="30">
      <c r="A30" s="2" t="n">
        <v>0</v>
      </c>
      <c r="B30" s="2">
        <f>IF(A30=1,"✅", "❌")&amp;"No tiene código mal indentado."</f>
        <v/>
      </c>
    </row>
    <row r="31">
      <c r="A31" s="2" t="n">
        <v>1</v>
      </c>
      <c r="B31" s="2">
        <f>IF(A31=1,"✅", "❌")&amp;"No tiene formato irregular (espacios o enters donde no debería)."</f>
        <v/>
      </c>
    </row>
    <row r="32">
      <c r="A32" s="2" t="n">
        <v>0</v>
      </c>
      <c r="B32" s="2">
        <f>IF(A32=1,"✅😀", "❌")&amp;"Tiene error handling."</f>
        <v/>
      </c>
    </row>
    <row r="34">
      <c r="B34" s="2" t="inlineStr">
        <is>
          <t>🍝 Calidad del código Front</t>
        </is>
      </c>
    </row>
    <row r="35">
      <c r="A35" s="2" t="n">
        <v>0</v>
      </c>
      <c r="B35" s="2">
        <f>IF(A35=1,"✅", "❌")&amp;"Crea componentes genéricos para el boton"</f>
        <v/>
      </c>
    </row>
    <row r="36">
      <c r="A36" s="2" t="n">
        <v>1</v>
      </c>
      <c r="B36" s="2">
        <f>IF(A36=1,"✅😀", "❌")&amp;"Crea componentes genéricos para el Contenedor (header + content)"</f>
        <v/>
      </c>
    </row>
    <row r="37">
      <c r="A37" s="2" t="n">
        <v>0</v>
      </c>
      <c r="B37" s="2">
        <f>IF(A37=1,"✅", "❌")&amp;"Usa destructuring de las props"</f>
        <v/>
      </c>
    </row>
    <row r="38">
      <c r="A38" s="2" t="n">
        <v>0</v>
      </c>
      <c r="B38" s="2">
        <f>IF(A38=1,"✅😀", "❌")&amp;"Utiliza el redux store"</f>
        <v/>
      </c>
    </row>
    <row r="39">
      <c r="A39" s="2" t="n">
        <v>1</v>
      </c>
      <c r="B39" s="2">
        <f>IF(A39=1,"✅", "❌")&amp;"Genera otra carpeta para los componentes genéricos"</f>
        <v/>
      </c>
    </row>
    <row r="40">
      <c r="A40" s="2" t="n">
        <v>1</v>
      </c>
      <c r="B40" s="2">
        <f>IF(A40=1,"✅", "❌")&amp;"El css está desacoplado"</f>
        <v/>
      </c>
    </row>
    <row r="41">
      <c r="A41" s="2" t="n">
        <v>0</v>
      </c>
      <c r="B41" s="2">
        <f>IF(A41=1,"✅", "❌")&amp;"Usa scss"</f>
        <v/>
      </c>
    </row>
    <row r="42">
      <c r="A42" s="2" t="n">
        <v>1</v>
      </c>
      <c r="B42" s="2">
        <f>IF(A42=1,"✅", "❌❗")&amp;"Usa solo componentes funcionales o no funcionales (no los mezcla)"</f>
        <v/>
      </c>
    </row>
    <row r="43">
      <c r="A43" s="2" t="n">
        <v>0</v>
      </c>
      <c r="B43" s="2">
        <f>IF(A43=1,"✅", "❌")&amp;"Separa las constantes en archivos"</f>
        <v/>
      </c>
    </row>
    <row r="44">
      <c r="A44" s="2" t="n">
        <v>0</v>
      </c>
      <c r="B44" s="2">
        <f>IF(A44=1,"✅😀", "❌")&amp;"Arquitectura clara (CSS puesto junto al componente)"</f>
        <v/>
      </c>
    </row>
    <row r="46">
      <c r="B46" s="2" t="inlineStr">
        <is>
          <t>🛠️ Eficacia y Eficiencia</t>
        </is>
      </c>
    </row>
    <row r="47">
      <c r="A47" s="2" t="n">
        <v>1</v>
      </c>
      <c r="B47" s="2">
        <f>IF(A47=1,"✅", "❌❗")&amp;"Parte A correcta"</f>
        <v/>
      </c>
    </row>
    <row r="50">
      <c r="A50" s="2" t="inlineStr">
        <is>
          <t>(0 a 3)</t>
        </is>
      </c>
      <c r="B50" s="2" t="inlineStr">
        <is>
          <t>🎚️Nivel</t>
        </is>
      </c>
    </row>
    <row r="51">
      <c r="A51" s="2" t="n">
        <v>2</v>
      </c>
      <c r="B51" s="3">
        <f>SWITCH(A51, 0, "No suficiente", 1, "Trainee", 2, "Junior", 3, "SemiSr")</f>
        <v/>
      </c>
    </row>
    <row r="53">
      <c r="B53" s="2" t="inlineStr">
        <is>
          <t>⭐Aspectos que destacan (positivos o negativos), o impresiones generales</t>
        </is>
      </c>
    </row>
    <row r="54">
      <c r="B54" s="2" t="inlineStr">
        <is>
          <t>(+) Generalizo los headers</t>
        </is>
      </c>
    </row>
    <row r="55">
      <c r="B55" s="2" t="inlineStr">
        <is>
          <t>(+) Utilizo los hooks de una manera correcta, se nota que conoce React funcional</t>
        </is>
      </c>
    </row>
    <row r="57">
      <c r="B57" s="4" t="n"/>
    </row>
    <row r="58">
      <c r="B58" s="2" t="inlineStr">
        <is>
          <t>📝 Otras notas de corrección</t>
        </is>
      </c>
    </row>
    <row r="59">
      <c r="B59" s="4" t="inlineStr">
        <is>
          <t>Border con semi senior si hubiera aplicado las cosas del feedback</t>
        </is>
      </c>
    </row>
    <row r="60">
      <c r="B60" s="4" t="n"/>
    </row>
    <row r="63">
      <c r="B63" s="2" t="inlineStr">
        <is>
          <t>🎁 Feedback</t>
        </is>
      </c>
    </row>
    <row r="64">
      <c r="B64" s="2" t="inlineStr">
        <is>
          <t>Se nota que conoces CSS, la view te quedo muy parecida a la letra y resolviste el codigo de muy buena manera.
Me hubiera gustado que asi como generalizaste el headers, generalizaras el boton. 
A su vez podrias haber estructurado mejor el proyecto.</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2:B75"/>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1</v>
      </c>
      <c r="B3" s="2">
        <f>IF(A3=1,"✅", "❌") &amp; "Explica cómo correr el código."</f>
        <v/>
      </c>
    </row>
    <row r="4">
      <c r="B4" s="2">
        <f>IF(A4=1,"✅", "❌") &amp; "Documenta la versión de la tecnología en la que programó la prueba."</f>
        <v/>
      </c>
    </row>
    <row r="5">
      <c r="A5" s="2" t="n">
        <v>1</v>
      </c>
      <c r="B5" s="2">
        <f>IF(A5=1,"✅", "❌") &amp; "Explica cómo funciona el código, o elecciones que se tomaron, o condiciones particulares"</f>
        <v/>
      </c>
    </row>
    <row r="7">
      <c r="B7" s="2" t="inlineStr">
        <is>
          <t>👨🏻‍💻 Usabilidad</t>
        </is>
      </c>
    </row>
    <row r="8">
      <c r="B8" s="2">
        <f>IF(A8=1,"✅", "❌") &amp; "El output es consistente (todo por consola o todo por archivos)."</f>
        <v/>
      </c>
    </row>
    <row r="9">
      <c r="B9" s="2">
        <f>IF(A9=1,"✅", "❌") &amp; "Parametriza los archivos en la ejecución (archivo de config, o constante)"</f>
        <v/>
      </c>
    </row>
    <row r="10">
      <c r="A10" s="2" t="n">
        <v>1</v>
      </c>
      <c r="B10" s="2">
        <f>IF(A10=1,"✅", "❌") &amp; "No hardcodea el nombre de archivos (u*.json)"</f>
        <v/>
      </c>
    </row>
    <row r="11">
      <c r="A11" s="2" t="n">
        <v>1</v>
      </c>
      <c r="B11" s="2">
        <f>IF(A11=1,"✅", "❌❗") &amp; "No hardcodea la cantidad de archivos (20)"</f>
        <v/>
      </c>
    </row>
    <row r="12">
      <c r="A12" s="2" t="n">
        <v>1</v>
      </c>
      <c r="B12" s="2">
        <f>IF(A12=1,"✅", "❌❗") &amp; "No hardcodea los providers que espera encontrar (authx.provider_y)"</f>
        <v/>
      </c>
    </row>
    <row r="13">
      <c r="B13" s="2" t="n"/>
    </row>
    <row r="14">
      <c r="B14" s="2" t="inlineStr">
        <is>
          <t>👨🏻‍💻 Usabilidad Front</t>
        </is>
      </c>
    </row>
    <row r="15">
      <c r="A15" s="2" t="n">
        <v>1</v>
      </c>
      <c r="B15" s="2">
        <f>IF(A15=1,"✅", "❌")&amp;"Queda seleccionado el boton del modulo o submodulo"</f>
        <v/>
      </c>
    </row>
    <row r="16">
      <c r="B16" s="2">
        <f>IF(A16=1,"✅", "❌")&amp;"Los headers dicen lo que pide la letra"</f>
        <v/>
      </c>
    </row>
    <row r="17">
      <c r="B17" s="2">
        <f>IF(A17=1,"✅", "❌")&amp;"Los botones dicen lo que pide la letra"</f>
        <v/>
      </c>
    </row>
    <row r="18">
      <c r="B18" s="2">
        <f>IF(A18=1,"✅", "❌")&amp;"Se utiliza el ruteo de react"</f>
        <v/>
      </c>
    </row>
    <row r="19">
      <c r="B19" s="2">
        <f>IF(A19=1,"✅", "❌")&amp;"Similitud visual del modulo a la letra"</f>
        <v/>
      </c>
    </row>
    <row r="20">
      <c r="A20" s="2" t="n">
        <v>1</v>
      </c>
      <c r="B20" s="2">
        <f>IF(A20=1,"✅", "❌")&amp;"Similitud visual de los botones a la letra"</f>
        <v/>
      </c>
    </row>
    <row r="21">
      <c r="A21" s="2" t="n">
        <v>1</v>
      </c>
      <c r="B21" s="2">
        <f>IF(A21=1,"✅", "❌")&amp;"Responsive"</f>
        <v/>
      </c>
    </row>
    <row r="22">
      <c r="B22" s="2" t="n"/>
    </row>
    <row r="23">
      <c r="B23" s="2" t="inlineStr">
        <is>
          <t>🍝 Calidad del código</t>
        </is>
      </c>
    </row>
    <row r="24">
      <c r="A24" s="2" t="n">
        <v>1</v>
      </c>
      <c r="B24" s="2">
        <f>IF(A24=1,"✅", "❌") &amp;"Es consistente con la nomenclatura (camelCase o snake_case)"</f>
        <v/>
      </c>
    </row>
    <row r="25">
      <c r="A25" s="2" t="n">
        <v>1</v>
      </c>
      <c r="B25" s="2">
        <f>IF(A25=1,"✅", "❌")&amp;"Los comentarios son adecuados (dicen cosas útiles)."</f>
        <v/>
      </c>
    </row>
    <row r="26">
      <c r="A26" s="2" t="n">
        <v>1</v>
      </c>
      <c r="B26" s="2">
        <f>IF(A26=1,"✅", "❌")&amp;"No hay comentarios excesivos."</f>
        <v/>
      </c>
    </row>
    <row r="27">
      <c r="A27" s="2" t="n">
        <v>1</v>
      </c>
      <c r="B27" s="2">
        <f>IF(A27=1,"✅", "❌")&amp;"Escribe de acuerdo a las convenciones de la tecnología."</f>
        <v/>
      </c>
    </row>
    <row r="28">
      <c r="B28" s="2">
        <f>IF(A28=1,"✅", "❌")&amp;"Divide el problema en funciones chicas y concretas."</f>
        <v/>
      </c>
    </row>
    <row r="29">
      <c r="A29" s="2" t="n">
        <v>1</v>
      </c>
      <c r="B29" s="2">
        <f>IF(A29=1,"✅", "❌❗")&amp;"No hay código duplicado."</f>
        <v/>
      </c>
    </row>
    <row r="30">
      <c r="A30" s="2" t="n">
        <v>1</v>
      </c>
      <c r="B30" s="2">
        <f>IF(A30=1,"✅", "❌")&amp;"No tiene código mal indentado."</f>
        <v/>
      </c>
    </row>
    <row r="31">
      <c r="A31" s="2" t="n">
        <v>1</v>
      </c>
      <c r="B31" s="2">
        <f>IF(A31=1,"✅", "❌")&amp;"No tiene formato irregular (espacios o enters donde no debería)."</f>
        <v/>
      </c>
    </row>
    <row r="32">
      <c r="B32" s="2">
        <f>IF(A32=1,"✅😀", "❌")&amp;"Tiene error handling."</f>
        <v/>
      </c>
    </row>
    <row r="34">
      <c r="B34" s="2" t="inlineStr">
        <is>
          <t>🍝 Calidad del código Front</t>
        </is>
      </c>
    </row>
    <row r="35">
      <c r="A35" s="2" t="n">
        <v>1</v>
      </c>
      <c r="B35" s="2">
        <f>IF(A35=1,"✅", "❌")&amp;"Crea componentes genéricos para el boton"</f>
        <v/>
      </c>
    </row>
    <row r="36">
      <c r="B36" s="2">
        <f>IF(A36=1,"✅😀", "❌")&amp;"Crea componentes genéricos para el Contenedor (header + content)"</f>
        <v/>
      </c>
    </row>
    <row r="37">
      <c r="A37" s="2" t="n">
        <v>1</v>
      </c>
      <c r="B37" s="2">
        <f>IF(A37=1,"✅", "❌")&amp;"Usa destructuring de las props"</f>
        <v/>
      </c>
    </row>
    <row r="38">
      <c r="B38" s="2">
        <f>IF(A38=1,"✅😀", "❌")&amp;"Utiliza el redux store"</f>
        <v/>
      </c>
    </row>
    <row r="39">
      <c r="A39" s="2" t="n">
        <v>1</v>
      </c>
      <c r="B39" s="2">
        <f>IF(A39=1,"✅", "❌")&amp;"Genera otra carpeta para los componentes genéricos"</f>
        <v/>
      </c>
    </row>
    <row r="40">
      <c r="B40" s="2">
        <f>IF(A40=1,"✅", "❌")&amp;"El css está desacoplado"</f>
        <v/>
      </c>
    </row>
    <row r="41">
      <c r="B41" s="2">
        <f>IF(A41=1,"✅", "❌")&amp;"Usa scss"</f>
        <v/>
      </c>
    </row>
    <row r="42">
      <c r="A42" s="2" t="n">
        <v>1</v>
      </c>
      <c r="B42" s="2">
        <f>IF(A42=1,"✅", "❌❗")&amp;"Usa solo componentes funcionales o no funcionales (no los mezcla)"</f>
        <v/>
      </c>
    </row>
    <row r="43">
      <c r="B43" s="2">
        <f>IF(A43=1,"✅", "❌")&amp;"Separa las constantes en archivos"</f>
        <v/>
      </c>
    </row>
    <row r="44">
      <c r="B44" s="2">
        <f>IF(A44=1,"✅😀", "❌")&amp;"Arquitectura clara (CSS puesto junto al componente)"</f>
        <v/>
      </c>
    </row>
    <row r="46">
      <c r="B46" s="2" t="inlineStr">
        <is>
          <t>🛠️ Eficacia y Eficiencia</t>
        </is>
      </c>
    </row>
    <row r="47">
      <c r="A47" s="2" t="n">
        <v>1</v>
      </c>
      <c r="B47" s="2">
        <f>IF(A47=1,"✅", "❌❗")&amp;"Parte A correcta"</f>
        <v/>
      </c>
    </row>
    <row r="50">
      <c r="A50" s="2" t="inlineStr">
        <is>
          <t>(0 a 3)</t>
        </is>
      </c>
      <c r="B50" s="2" t="inlineStr">
        <is>
          <t>🎚️Nivel</t>
        </is>
      </c>
    </row>
    <row r="51">
      <c r="A51" s="2" t="n">
        <v>1</v>
      </c>
      <c r="B51" s="3">
        <f>SWITCH(A51, 0, "No suficiente", 1, "Trainee", 2, "Junior", 3, "SemiSr")</f>
        <v/>
      </c>
    </row>
    <row r="53">
      <c r="B53" s="2" t="inlineStr">
        <is>
          <t>⭐Aspectos que destacan (positivos o negativos), o impresiones generales</t>
        </is>
      </c>
    </row>
    <row r="54">
      <c r="B54" s="2" t="inlineStr">
        <is>
          <t>Genera componentes genéricos</t>
        </is>
      </c>
    </row>
    <row r="55">
      <c r="B55" s="2" t="inlineStr">
        <is>
          <t>Mal formateo de código en react</t>
        </is>
      </c>
    </row>
    <row r="57">
      <c r="B57" s="4" t="n"/>
    </row>
    <row r="58">
      <c r="B58" s="2" t="inlineStr">
        <is>
          <t>📝 Otras notas de corrección</t>
        </is>
      </c>
    </row>
    <row r="59">
      <c r="B59" s="4" t="inlineStr">
        <is>
          <t>✅ Parece organizado a la hora de codear y hace componentes genéricos (aunque lo podría hacer mejor)</t>
        </is>
      </c>
    </row>
    <row r="60">
      <c r="B60" s="4" t="inlineStr">
        <is>
          <t>✅ Explica lo que hace en Ingles y se hace entender</t>
        </is>
      </c>
    </row>
    <row r="61">
      <c r="B61" s="2" t="inlineStr">
        <is>
          <t>✅ Está bastante bien la prueba para haber aprendido react al hacerla</t>
        </is>
      </c>
    </row>
    <row r="62">
      <c r="B62" s="2" t="inlineStr">
        <is>
          <t>❌ Mezcla estandares de python en Js</t>
        </is>
      </c>
    </row>
    <row r="63">
      <c r="B63" s="2" t="inlineStr">
        <is>
          <t>❌ Tiene espacios y tabs wtf en el código de react que no se explican</t>
        </is>
      </c>
    </row>
    <row r="64">
      <c r="B64" s="2" t="inlineStr">
        <is>
          <t>❌ No le cambia los nombres a los botones para que sigan lo que pide la letra</t>
        </is>
      </c>
    </row>
    <row r="65">
      <c r="B65" s="2" t="inlineStr">
        <is>
          <t>❌ Necesitaría hacer un curso de react y un poco de ayuda para mejorar su division de componentes (no fue mala pero tampoco fue la mejor ni la esperada)</t>
        </is>
      </c>
    </row>
    <row r="66">
      <c r="B66" s="2" t="inlineStr">
        <is>
          <t>❌ No aparenta saber muy bien css</t>
        </is>
      </c>
    </row>
    <row r="71">
      <c r="B71" s="2" t="inlineStr">
        <is>
          <t>🎁 Feedback</t>
        </is>
      </c>
    </row>
    <row r="72">
      <c r="B72" s="2" t="inlineStr">
        <is>
          <t>Deberías tratar de seguir el estándar de código del lenguaje</t>
        </is>
      </c>
    </row>
    <row r="73">
      <c r="B73" s="2" t="inlineStr">
        <is>
          <t>Es importante prestar atención a la hora de formatear el código para que este sea fácilmente legible</t>
        </is>
      </c>
    </row>
    <row r="74">
      <c r="B74" s="2" t="inlineStr">
        <is>
          <t>Sería bueno que comenzaras a desacoplar el CSS de los diferentes componentes para que los estilos de un componente no se acoplen a los del resto (ver css-modules o styled-components)</t>
        </is>
      </c>
    </row>
    <row r="75">
      <c r="B75" s="2" t="inlineStr">
        <is>
          <t>Si bien la parte A es corta y concisa estaría bueno que la dividieras en funciones para que se pueda entender más facilmente</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2:B71"/>
  <sheetViews>
    <sheetView workbookViewId="0">
      <selection activeCell="A1" sqref="A1"/>
    </sheetView>
  </sheetViews>
  <sheetFormatPr baseColWidth="8" defaultColWidth="12.63" defaultRowHeight="15.75" customHeight="1"/>
  <cols>
    <col width="63.13" customWidth="1" style="6" min="2" max="2"/>
  </cols>
  <sheetData>
    <row r="2">
      <c r="A2" s="2" t="inlineStr">
        <is>
          <t>(0 o 1)</t>
        </is>
      </c>
      <c r="B2" s="2" t="inlineStr">
        <is>
          <t>📚 Documentación</t>
        </is>
      </c>
    </row>
    <row r="3">
      <c r="A3" s="2" t="n">
        <v>0</v>
      </c>
      <c r="B3" s="2">
        <f>IF(A3=1,"✅", "❌") &amp; "Explica cómo correr el código."</f>
        <v/>
      </c>
    </row>
    <row r="4">
      <c r="A4" s="2" t="n">
        <v>0</v>
      </c>
      <c r="B4" s="2">
        <f>IF(A4=1,"✅", "❌") &amp; "Documenta la versión de la tecnología en la que programó la prueba."</f>
        <v/>
      </c>
    </row>
    <row r="5">
      <c r="A5" s="2" t="n">
        <v>0</v>
      </c>
      <c r="B5" s="2">
        <f>IF(A5=1,"✅", "❌") &amp; "Explica cómo funciona el código, o elecciones que se tomaron, o condiciones particulares"</f>
        <v/>
      </c>
    </row>
    <row r="7">
      <c r="B7" s="2" t="inlineStr">
        <is>
          <t>👨🏻‍💻 Usabilidad</t>
        </is>
      </c>
    </row>
    <row r="8">
      <c r="A8" s="2" t="n">
        <v>0</v>
      </c>
      <c r="B8" s="2">
        <f>IF(A8=1,"✅", "❌") &amp; "El output es consistente (todo por consola o todo por archivos)."</f>
        <v/>
      </c>
    </row>
    <row r="9">
      <c r="A9" s="2" t="n">
        <v>0</v>
      </c>
      <c r="B9" s="2">
        <f>IF(A9=1,"✅", "❌") &amp; "Parametriza los archivos en la ejecución (archivo de config, o constante)"</f>
        <v/>
      </c>
    </row>
    <row r="10">
      <c r="A10" s="2" t="n">
        <v>0</v>
      </c>
      <c r="B10" s="2">
        <f>IF(A10=1,"✅", "❌") &amp; "No hardcodea el nombre de archivos (u*.json)"</f>
        <v/>
      </c>
    </row>
    <row r="11">
      <c r="A11" s="2" t="n">
        <v>0</v>
      </c>
      <c r="B11" s="2">
        <f>IF(A11=1,"✅", "❌❗") &amp; "No hardcodea la cantidad de archivos (20)"</f>
        <v/>
      </c>
    </row>
    <row r="12">
      <c r="A12" s="2" t="n">
        <v>0</v>
      </c>
      <c r="B12" s="2">
        <f>IF(A12=1,"✅", "❌❗") &amp; "No hardcodea los providers que espera encontrar (authx.provider_y)"</f>
        <v/>
      </c>
    </row>
    <row r="13">
      <c r="B13" s="2" t="n"/>
    </row>
    <row r="14">
      <c r="B14" s="2" t="inlineStr">
        <is>
          <t>👨🏻‍💻 Usabilidad Front</t>
        </is>
      </c>
    </row>
    <row r="15">
      <c r="A15" s="2" t="n">
        <v>1</v>
      </c>
      <c r="B15" s="2">
        <f>IF(A15=1,"✅", "❌")&amp;"Queda seleccionado el boton del modulo o submodulo"</f>
        <v/>
      </c>
    </row>
    <row r="16">
      <c r="A16" s="2" t="n">
        <v>0</v>
      </c>
      <c r="B16" s="2">
        <f>IF(A16=1,"✅", "❌")&amp;"Los headers dicen lo que pide la letra"</f>
        <v/>
      </c>
    </row>
    <row r="17">
      <c r="A17" s="2" t="n">
        <v>0</v>
      </c>
      <c r="B17" s="2">
        <f>IF(A17=1,"✅", "❌")&amp;"Los botones dicen lo que pide la letra"</f>
        <v/>
      </c>
    </row>
    <row r="18">
      <c r="A18" s="2" t="n">
        <v>0</v>
      </c>
      <c r="B18" s="2">
        <f>IF(A18=1,"✅", "❌")&amp;"Se utiliza el ruteo de react"</f>
        <v/>
      </c>
    </row>
    <row r="19">
      <c r="A19" s="2" t="n">
        <v>0</v>
      </c>
      <c r="B19" s="2">
        <f>IF(A19=1,"✅", "❌")&amp;"Similitud visual del modulo a la letra"</f>
        <v/>
      </c>
    </row>
    <row r="20">
      <c r="A20" s="2" t="n">
        <v>0</v>
      </c>
      <c r="B20" s="2">
        <f>IF(A20=1,"✅", "❌")&amp;"Similitud visual de los botones a la letra"</f>
        <v/>
      </c>
    </row>
    <row r="21">
      <c r="A21" s="2" t="n">
        <v>1</v>
      </c>
      <c r="B21" s="2">
        <f>IF(A21=1,"✅", "❌")&amp;"Responsive"</f>
        <v/>
      </c>
    </row>
    <row r="22">
      <c r="B22" s="2" t="n"/>
    </row>
    <row r="23">
      <c r="B23" s="2" t="inlineStr">
        <is>
          <t>🍝 Calidad del código</t>
        </is>
      </c>
    </row>
    <row r="24">
      <c r="A24" s="2" t="n">
        <v>0</v>
      </c>
      <c r="B24" s="2">
        <f>IF(A24=1,"✅", "❌") &amp;"Es consistente con la nomenclatura (camelCase o snake_case)"</f>
        <v/>
      </c>
    </row>
    <row r="25">
      <c r="A25" s="2" t="n">
        <v>0</v>
      </c>
      <c r="B25" s="2">
        <f>IF(A25=1,"✅", "❌")&amp;"Los comentarios son adecuados (dicen cosas útiles)."</f>
        <v/>
      </c>
    </row>
    <row r="26">
      <c r="A26" s="2" t="n">
        <v>1</v>
      </c>
      <c r="B26" s="2">
        <f>IF(A26=1,"✅", "❌")&amp;"No hay comentarios excesivos."</f>
        <v/>
      </c>
    </row>
    <row r="27">
      <c r="A27" s="2" t="n">
        <v>0</v>
      </c>
      <c r="B27" s="2">
        <f>IF(A27=1,"✅", "❌")&amp;"Escribe de acuerdo a las convenciones de la tecnología."</f>
        <v/>
      </c>
    </row>
    <row r="28">
      <c r="A28" s="2" t="n">
        <v>0</v>
      </c>
      <c r="B28" s="2">
        <f>IF(A28=1,"✅", "❌")&amp;"Divide el problema en funciones chicas y concretas."</f>
        <v/>
      </c>
    </row>
    <row r="29">
      <c r="A29" s="2" t="n">
        <v>0</v>
      </c>
      <c r="B29" s="2">
        <f>IF(A29=1,"✅", "❌❗")&amp;"No hay código duplicado."</f>
        <v/>
      </c>
    </row>
    <row r="30">
      <c r="A30" s="2" t="n">
        <v>0</v>
      </c>
      <c r="B30" s="2">
        <f>IF(A30=1,"✅", "❌")&amp;"No tiene código mal indentado."</f>
        <v/>
      </c>
    </row>
    <row r="31">
      <c r="A31" s="2" t="n">
        <v>0</v>
      </c>
      <c r="B31" s="2">
        <f>IF(A31=1,"✅", "❌")&amp;"No tiene formato irregular (espacios o enters donde no debería)."</f>
        <v/>
      </c>
    </row>
    <row r="32">
      <c r="A32" s="2" t="n">
        <v>1</v>
      </c>
      <c r="B32" s="2">
        <f>IF(A32=1,"✅😀", "❌")&amp;"Tiene error handling."</f>
        <v/>
      </c>
    </row>
    <row r="34">
      <c r="B34" s="2" t="inlineStr">
        <is>
          <t>🍝 Calidad del código Front</t>
        </is>
      </c>
    </row>
    <row r="35">
      <c r="A35" s="2" t="n">
        <v>0</v>
      </c>
      <c r="B35" s="2">
        <f>IF(A35=1,"✅", "❌")&amp;"Crea componentes genéricos para el boton"</f>
        <v/>
      </c>
    </row>
    <row r="36">
      <c r="A36" s="2" t="n">
        <v>0</v>
      </c>
      <c r="B36" s="2">
        <f>IF(A36=1,"✅😀", "❌")&amp;"Crea componentes genéricos para el Contenedor (header + content)"</f>
        <v/>
      </c>
    </row>
    <row r="37">
      <c r="A37" s="2" t="n">
        <v>0</v>
      </c>
      <c r="B37" s="2">
        <f>IF(A37=1,"✅", "❌")&amp;"Usa destructuring de las props"</f>
        <v/>
      </c>
    </row>
    <row r="38">
      <c r="A38" s="2" t="n">
        <v>0</v>
      </c>
      <c r="B38" s="2">
        <f>IF(A38=1,"✅😀", "❌")&amp;"Utiliza el redux store"</f>
        <v/>
      </c>
    </row>
    <row r="39">
      <c r="A39" s="2" t="n">
        <v>0</v>
      </c>
      <c r="B39" s="2">
        <f>IF(A39=1,"✅", "❌")&amp;"Genera otra carpeta para los componentes genéricos"</f>
        <v/>
      </c>
    </row>
    <row r="40">
      <c r="A40" s="2" t="n">
        <v>0</v>
      </c>
      <c r="B40" s="2">
        <f>IF(A40=1,"✅", "❌")&amp;"El css está desacoplado"</f>
        <v/>
      </c>
    </row>
    <row r="41">
      <c r="A41" s="2" t="n">
        <v>0</v>
      </c>
      <c r="B41" s="2">
        <f>IF(A41=1,"✅", "❌")&amp;"Usa scss"</f>
        <v/>
      </c>
    </row>
    <row r="42">
      <c r="A42" s="2" t="n">
        <v>1</v>
      </c>
      <c r="B42" s="2">
        <f>IF(A42=1,"✅", "❌❗")&amp;"Usa solo componentes funcionales o no funcionales (no los mezcla)"</f>
        <v/>
      </c>
    </row>
    <row r="43">
      <c r="A43" s="2" t="n">
        <v>0</v>
      </c>
      <c r="B43" s="2">
        <f>IF(A43=1,"✅", "❌")&amp;"Separa las constantes en archivos"</f>
        <v/>
      </c>
    </row>
    <row r="44">
      <c r="A44" s="2" t="n">
        <v>0</v>
      </c>
      <c r="B44" s="2">
        <f>IF(A44=1,"✅😀", "❌")&amp;"Arquitectura clara (CSS puesto junto al componente)"</f>
        <v/>
      </c>
    </row>
    <row r="46">
      <c r="B46" s="2" t="inlineStr">
        <is>
          <t>🛠️ Eficacia y Eficiencia</t>
        </is>
      </c>
    </row>
    <row r="47">
      <c r="A47" s="2" t="n">
        <v>1</v>
      </c>
      <c r="B47" s="2">
        <f>IF(A47=1,"✅", "❌❗")&amp;"Parte A correcta"</f>
        <v/>
      </c>
    </row>
    <row r="50">
      <c r="A50" s="2" t="inlineStr">
        <is>
          <t>(0 a 3)</t>
        </is>
      </c>
      <c r="B50" s="2" t="inlineStr">
        <is>
          <t>🎚️Nivel</t>
        </is>
      </c>
    </row>
    <row r="51">
      <c r="A51" s="2" t="n">
        <v>0</v>
      </c>
      <c r="B51" s="3">
        <f>SWITCH(A51, 0, "No suficiente", 1, "Trainee", 2, "Junior", 3, "SemiSr")</f>
        <v/>
      </c>
    </row>
    <row r="53">
      <c r="B53" s="2" t="inlineStr">
        <is>
          <t>⭐Aspectos que destacan (positivos o negativos), o impresiones generales</t>
        </is>
      </c>
    </row>
    <row r="54">
      <c r="B54" s="2" t="inlineStr">
        <is>
          <t>Codea hardcodeando todo</t>
        </is>
      </c>
    </row>
    <row r="55">
      <c r="B55" s="2" t="inlineStr">
        <is>
          <t>Escribe tanto en español como en ingles las variables</t>
        </is>
      </c>
    </row>
    <row r="56">
      <c r="B56" s="2" t="inlineStr">
        <is>
          <t>Usa document.getElementById en react</t>
        </is>
      </c>
    </row>
    <row r="58">
      <c r="B58" s="2" t="inlineStr">
        <is>
          <t>📝 Otras notas de corrección</t>
        </is>
      </c>
    </row>
    <row r="59">
      <c r="B59" s="4" t="inlineStr">
        <is>
          <t>No utiliza la parte A en la parte B</t>
        </is>
      </c>
    </row>
    <row r="60">
      <c r="B60" s="4" t="inlineStr">
        <is>
          <t>La pag no se parece (no tienen iconos los botones, los users estan separados por mucho espacio, etc)</t>
        </is>
      </c>
    </row>
    <row r="61">
      <c r="B61" s="4" t="inlineStr">
        <is>
          <t>Hardcodea y duplica mucho codigo</t>
        </is>
      </c>
    </row>
    <row r="62">
      <c r="B62" s="4" t="inlineStr">
        <is>
          <t>La nomenclatura de los componentes no es buena</t>
        </is>
      </c>
    </row>
    <row r="63">
      <c r="B63" s="4" t="inlineStr">
        <is>
          <t>No utiliza destructuring de props</t>
        </is>
      </c>
    </row>
    <row r="64">
      <c r="B64" s="4" t="inlineStr">
        <is>
          <t>No tiene una buena arquitectura de carpetas y componentes</t>
        </is>
      </c>
    </row>
    <row r="65">
      <c r="B65" s="4" t="n"/>
    </row>
    <row r="68">
      <c r="B68" s="2" t="inlineStr">
        <is>
          <t>🎁 Feedback</t>
        </is>
      </c>
    </row>
    <row r="69">
      <c r="B69" s="2" t="inlineStr">
        <is>
          <t>Estaria bueno que te enfoques en aprender las bases de React, cómo usar los hooks y cuáles son las buenas prácticas.</t>
        </is>
      </c>
    </row>
    <row r="70">
      <c r="B70" s="2" t="inlineStr">
        <is>
          <t>Es importante el aprender a separar los probelmas en funciones para poder asi reutilizar código en lugar de duplicarlo.</t>
        </is>
      </c>
    </row>
    <row r="71">
      <c r="B71" s="2" t="inlineStr">
        <is>
          <t>Hay que tratar de que el coódigo sea siempre extensible, no hardcodear las cosas que utilizamos, sino que esperarnos cualquier dato a futuro.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2026-04-14T19:17:49Z</dcterms:created>
  <dcterms:modified xmlns:dcterms="http://purl.org/dc/terms/" xmlns:xsi="http://www.w3.org/2001/XMLSchema-instance" xsi:type="dcterms:W3CDTF">2026-04-14T19:17:49Z</dcterms:modified>
</cp:coreProperties>
</file>