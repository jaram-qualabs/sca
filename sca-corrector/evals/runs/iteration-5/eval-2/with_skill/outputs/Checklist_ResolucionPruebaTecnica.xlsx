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 2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B49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t="n">
        <v>1</v>
      </c>
      <c r="B3" s="2">
        <f>IF(A3=1,"✅", "❌") &amp; "Explica cómo correr el código."</f>
        <v/>
      </c>
    </row>
    <row r="4">
      <c r="A4" t="n">
        <v>0</v>
      </c>
      <c r="B4" s="2">
        <f>IF(A4=1,"✅", "❌") &amp; "Documenta la versión de la tecnología en la que programó la prueba."</f>
        <v/>
      </c>
    </row>
    <row r="5">
      <c r="A5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t="n">
        <v>0</v>
      </c>
      <c r="B8" s="2">
        <f>IF(A8=1,"✅", "❌") &amp; "El output es consistente (todo por consola o todo por archivos)."</f>
        <v/>
      </c>
    </row>
    <row r="9">
      <c r="A9" t="n">
        <v>0</v>
      </c>
      <c r="B9" s="2">
        <f>IF(A9=1,"✅", "❌") &amp; "Parametriza los archivos en la ejecución (archivo de config, constante, línea de comandos)"</f>
        <v/>
      </c>
    </row>
    <row r="10">
      <c r="A10" t="n">
        <v>0</v>
      </c>
      <c r="B10" s="2">
        <f>IF(A10=1,"✅", "❌") &amp; "No hardcodea el nombre de archivos (u*.json)"</f>
        <v/>
      </c>
    </row>
    <row r="11">
      <c r="A11" t="n">
        <v>0</v>
      </c>
      <c r="B11" s="2">
        <f>IF(A11=1,"✅", "❌❗") &amp; "No hardcodea la cantidad de archivos (20)"</f>
        <v/>
      </c>
    </row>
    <row r="12">
      <c r="A12" t="n">
        <v>0</v>
      </c>
      <c r="B12" s="2">
        <f>IF(A12=1,"✅", "❌❗") &amp; "No hardcodea los providers que espera encontrar (authx.provider_y)"</f>
        <v/>
      </c>
    </row>
    <row r="13">
      <c r="A13" t="n">
        <v>0</v>
      </c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A16" t="n">
        <v>1</v>
      </c>
      <c r="B16" s="2">
        <f>IF(A16=1,"✅", "❌") &amp;"Es consistente con la nomenclatura (camelCase o snake_case)"</f>
        <v/>
      </c>
    </row>
    <row r="17">
      <c r="A17" t="n">
        <v>0</v>
      </c>
      <c r="B17" s="2">
        <f>IF(A17=1,"✅", "❌")&amp;"Los comentarios son adecuados (dicen cosas útiles)."</f>
        <v/>
      </c>
    </row>
    <row r="18">
      <c r="A18" t="n">
        <v>1</v>
      </c>
      <c r="B18" s="2">
        <f>IF(A18=1,"✅", "❌")&amp;"No hay comentarios excesivos."</f>
        <v/>
      </c>
    </row>
    <row r="19">
      <c r="A19" t="n">
        <v>1</v>
      </c>
      <c r="B19" s="2">
        <f>IF(A19=1,"✅", "❌")&amp;"Escribe de acuerdo a las convenciones de la tecnología."</f>
        <v/>
      </c>
    </row>
    <row r="20">
      <c r="A20" t="n">
        <v>1</v>
      </c>
      <c r="B20" s="2">
        <f>IF(A20=1,"✅", "❌")&amp;"Divide el problema en funciones chicas y concretas."</f>
        <v/>
      </c>
    </row>
    <row r="21">
      <c r="A21" t="n">
        <v>1</v>
      </c>
      <c r="B21" s="2">
        <f>IF(A21=1,"✅", "❌")&amp;"No repite el código de la parte A."</f>
        <v/>
      </c>
    </row>
    <row r="22">
      <c r="A22" t="n">
        <v>0</v>
      </c>
      <c r="B22" s="2">
        <f>IF(A22=1,"✅", "❌❗")&amp;"No hay código duplicado."</f>
        <v/>
      </c>
    </row>
    <row r="23">
      <c r="A23" t="n">
        <v>1</v>
      </c>
      <c r="B23" s="2">
        <f>IF(A23=1,"✅", "❌")&amp;"No tiene código mal indentado."</f>
        <v/>
      </c>
    </row>
    <row r="24">
      <c r="A24" t="n">
        <v>1</v>
      </c>
      <c r="B24" s="2">
        <f>IF(A24=1,"✅", "❌")&amp;"No tiene formato irregular (espacios o enters donde no debería)."</f>
        <v/>
      </c>
    </row>
    <row r="25">
      <c r="A25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t="n">
        <v>0</v>
      </c>
      <c r="B28" s="2">
        <f>IF(A28=1,"✅", "❌❗")&amp;"Parte A correcta"</f>
        <v/>
      </c>
    </row>
    <row r="29">
      <c r="A29" t="n">
        <v>0</v>
      </c>
      <c r="B29" s="2">
        <f>IF(A29=1,"✅", "❌❗")&amp;"Consigue un set de usuarios que cubren todos los módulos."</f>
        <v/>
      </c>
    </row>
    <row r="30">
      <c r="A30" t="n">
        <v>0</v>
      </c>
      <c r="B30" s="2">
        <f>IF(A30=1,"✅", "❌")&amp;"Busca un set reducido (ej: ordenar por los que usan más módulos)."</f>
        <v/>
      </c>
    </row>
    <row r="31">
      <c r="A31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t="n">
        <v>0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A37" t="inlineStr">
        <is>
          <t>Parte A INCORRECTO: output usa "User N" en lugar de rutas de archivo (debe ser "./u0.json")</t>
        </is>
      </c>
    </row>
    <row r="38">
      <c r="A38" t="inlineStr">
        <is>
          <t>Hardcodea explícitamente los 20 usuarios en users.js en lugar de cargarlos dinámicamente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A42" t="inlineStr">
        <is>
          <t>Errores críticos detectados:</t>
        </is>
      </c>
      <c r="B42" s="4" t="n"/>
    </row>
    <row r="43">
      <c r="A43" t="inlineStr">
        <is>
          <t>- Parte A genera salida inválida (F28=0) → Nivel automáticamente NO SUFICIENTE</t>
        </is>
      </c>
      <c r="B43" s="4" t="n"/>
    </row>
    <row r="44">
      <c r="A44" t="inlineStr">
        <is>
          <t>- Parte B no cubre todos los módulos (F29=0) y hereda problema de formato</t>
        </is>
      </c>
    </row>
    <row r="45">
      <c r="A45" t="inlineStr">
        <is>
          <t>- Hardcodea providers en if/else chains y cantidad de usuarios</t>
        </is>
      </c>
    </row>
    <row r="46">
      <c r="B46" s="2" t="inlineStr">
        <is>
          <t>🎁 Feedback</t>
        </is>
      </c>
    </row>
    <row r="47">
      <c r="A47" t="inlineStr">
        <is>
          <t>El output de Parte A debe contener rutas de archivo (./u0.json, u0, etc.) no nombres de usuario. Necesitas cargar dinámicamente los archivos JSON usando fs.readdirSync() u otro método.</t>
        </is>
      </c>
    </row>
    <row r="48">
      <c r="A48" t="inlineStr">
        <is>
          <t>Evita cargar explícitamente user0, user1, etc. Parte B no cubre correctamente todos los 8 módulos - revisa que cada usuario del set final cubra un módulo distinto.</t>
        </is>
      </c>
    </row>
    <row r="49">
      <c r="A49" t="inlineStr">
        <is>
          <t>Agrega error handling con try/catch. Documenta en README POR QUÉ elegiste Express y no scripts CLI simples.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SWITCH(A34, 0, "No suficiente", 1, "Trainee", 2, "Junior", 3, "SemiSr")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SWITCH(A51, 0, "No suficiente", 1, "Trainee", 2, "Junior", 3, "SemiSr")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2026-04-14T15:10:10Z</dcterms:created>
  <dcterms:modified xmlns:dcterms="http://purl.org/dc/terms/" xmlns:xsi="http://www.w3.org/2001/XMLSchema-instance" xsi:type="dcterms:W3CDTF">2026-04-14T15:10:10Z</dcterms:modified>
</cp:coreProperties>
</file>