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ueba 5" sheetId="1" state="visible" r:id="rId1"/>
    <sheet xmlns:r="http://schemas.openxmlformats.org/officeDocument/2006/relationships" name="Template Frontend" sheetId="2" state="visible" r:id="rId2"/>
    <sheet xmlns:r="http://schemas.openxmlformats.org/officeDocument/2006/relationships" name="Ejemplo del doc" sheetId="3" state="visible" r:id="rId3"/>
    <sheet xmlns:r="http://schemas.openxmlformats.org/officeDocument/2006/relationships" name="Manual 1" sheetId="4" state="visible" r:id="rId4"/>
    <sheet xmlns:r="http://schemas.openxmlformats.org/officeDocument/2006/relationships" name="Manual 2" sheetId="5" state="visible" r:id="rId5"/>
    <sheet xmlns:r="http://schemas.openxmlformats.org/officeDocument/2006/relationships" name="Manual 3" sheetId="6" state="visible" r:id="rId6"/>
    <sheet xmlns:r="http://schemas.openxmlformats.org/officeDocument/2006/relationships" name="Manual 4" sheetId="7" state="visible" r:id="rId7"/>
    <sheet xmlns:r="http://schemas.openxmlformats.org/officeDocument/2006/relationships" name="Manual 5" sheetId="8" state="visible" r:id="rId8"/>
    <sheet xmlns:r="http://schemas.openxmlformats.org/officeDocument/2006/relationships" name="Manual front 1" sheetId="9" state="visible" r:id="rId9"/>
    <sheet xmlns:r="http://schemas.openxmlformats.org/officeDocument/2006/relationships" name="Manual front 2" sheetId="10" state="visible" r:id="rId10"/>
    <sheet xmlns:r="http://schemas.openxmlformats.org/officeDocument/2006/relationships" name="Manual front 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Arial"/>
      <color theme="1"/>
    </font>
    <font>
      <name val="Arial"/>
      <color rgb="FF000000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49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t="n">
        <v>1</v>
      </c>
      <c r="B3" s="2">
        <f>IF(A3=1,"✅", "❌") &amp; "Explica cómo correr el código."</f>
        <v/>
      </c>
    </row>
    <row r="4">
      <c r="A4" t="n">
        <v>1</v>
      </c>
      <c r="B4" s="2">
        <f>IF(A4=1,"✅", "❌") &amp; "Documenta la versión de la tecnología en la que programó la prueba."</f>
        <v/>
      </c>
    </row>
    <row r="5">
      <c r="A5" t="n">
        <v>1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A8" t="n">
        <v>1</v>
      </c>
      <c r="B8" s="2">
        <f>IF(A8=1,"✅", "❌") &amp; "El output es consistente (todo por consola o todo por archivos)."</f>
        <v/>
      </c>
    </row>
    <row r="9">
      <c r="A9" t="n">
        <v>1</v>
      </c>
      <c r="B9" s="2">
        <f>IF(A9=1,"✅", "❌") &amp; "Parametriza los archivos en la ejecución (archivo de config, constante, línea de comandos)"</f>
        <v/>
      </c>
    </row>
    <row r="10">
      <c r="A10" t="n">
        <v>1</v>
      </c>
      <c r="B10" s="2">
        <f>IF(A10=1,"✅", "❌") &amp; "No hardcodea el nombre de archivos (u*.json)"</f>
        <v/>
      </c>
    </row>
    <row r="11">
      <c r="A11" t="n">
        <v>1</v>
      </c>
      <c r="B11" s="2">
        <f>IF(A11=1,"✅", "❌❗") &amp; "No hardcodea la cantidad de archivos (20)"</f>
        <v/>
      </c>
    </row>
    <row r="12">
      <c r="A12" t="n">
        <v>1</v>
      </c>
      <c r="B12" s="2">
        <f>IF(A12=1,"✅", "❌❗") &amp; "No hardcodea los providers que espera encontrar (authx.provider_y)"</f>
        <v/>
      </c>
    </row>
    <row r="13">
      <c r="A13" t="n">
        <v>1</v>
      </c>
      <c r="B13" s="2">
        <f>IF(A13=1,"✅😀", "❌")&amp;"Imprime la salida como en la letra (sin las comas, JSON inválido), o cuestionó el formato."</f>
        <v/>
      </c>
    </row>
    <row r="14"/>
    <row r="15">
      <c r="B15" s="2" t="inlineStr">
        <is>
          <t>🍝 Calidad del código</t>
        </is>
      </c>
    </row>
    <row r="16">
      <c r="A16" t="n">
        <v>1</v>
      </c>
      <c r="B16" s="2">
        <f>IF(A16=1,"✅", "❌") &amp;"Es consistente con la nomenclatura (camelCase o snake_case)"</f>
        <v/>
      </c>
    </row>
    <row r="17">
      <c r="A17" t="n">
        <v>1</v>
      </c>
      <c r="B17" s="2">
        <f>IF(A17=1,"✅", "❌")&amp;"Los comentarios son adecuados (dicen cosas útiles)."</f>
        <v/>
      </c>
    </row>
    <row r="18">
      <c r="A18" t="n">
        <v>1</v>
      </c>
      <c r="B18" s="2">
        <f>IF(A18=1,"✅", "❌")&amp;"No hay comentarios excesivos."</f>
        <v/>
      </c>
    </row>
    <row r="19">
      <c r="A19" t="n">
        <v>1</v>
      </c>
      <c r="B19" s="2">
        <f>IF(A19=1,"✅", "❌")&amp;"Escribe de acuerdo a las convenciones de la tecnología."</f>
        <v/>
      </c>
    </row>
    <row r="20">
      <c r="A20" t="n">
        <v>1</v>
      </c>
      <c r="B20" s="2">
        <f>IF(A20=1,"✅", "❌")&amp;"Divide el problema en funciones chicas y concretas."</f>
        <v/>
      </c>
    </row>
    <row r="21">
      <c r="A21" t="n">
        <v>1</v>
      </c>
      <c r="B21" s="2">
        <f>IF(A21=1,"✅", "❌")&amp;"No repite el código de la parte A."</f>
        <v/>
      </c>
    </row>
    <row r="22">
      <c r="A22" t="n">
        <v>1</v>
      </c>
      <c r="B22" s="2">
        <f>IF(A22=1,"✅", "❌❗")&amp;"No hay código duplicado."</f>
        <v/>
      </c>
    </row>
    <row r="23">
      <c r="A23" t="n">
        <v>1</v>
      </c>
      <c r="B23" s="2">
        <f>IF(A23=1,"✅", "❌")&amp;"No tiene código mal indentado."</f>
        <v/>
      </c>
    </row>
    <row r="24">
      <c r="A24" t="n">
        <v>1</v>
      </c>
      <c r="B24" s="2">
        <f>IF(A24=1,"✅", "❌")&amp;"No tiene formato irregular (espacios o enters donde no debería)."</f>
        <v/>
      </c>
    </row>
    <row r="25">
      <c r="A25" t="n">
        <v>1</v>
      </c>
      <c r="B25" s="2">
        <f>IF(A25=1,"✅😀", "❌")&amp;"Tiene error handling."</f>
        <v/>
      </c>
    </row>
    <row r="26"/>
    <row r="27">
      <c r="B27" s="2" t="inlineStr">
        <is>
          <t>🛠️ Eficacia y Eficiencia</t>
        </is>
      </c>
    </row>
    <row r="28">
      <c r="A28" t="n">
        <v>1</v>
      </c>
      <c r="B28" s="2">
        <f>IF(A28=1,"✅", "❌❗")&amp;"Parte A correcta"</f>
        <v/>
      </c>
    </row>
    <row r="29">
      <c r="A29" t="n">
        <v>1</v>
      </c>
      <c r="B29" s="2">
        <f>IF(A29=1,"✅", "❌❗")&amp;"Consigue un set de usuarios que cubren todos los módulos."</f>
        <v/>
      </c>
    </row>
    <row r="30">
      <c r="A30" t="n">
        <v>1</v>
      </c>
      <c r="B30" s="2">
        <f>IF(A30=1,"✅", "❌")&amp;"Busca un set reducido (ej: ordenar por los que usan más módulos)."</f>
        <v/>
      </c>
    </row>
    <row r="31">
      <c r="A31" t="n">
        <v>0</v>
      </c>
      <c r="B31" s="2">
        <f>IF(A31=1,"✅😀", "❌")&amp;"Asegura el set mínimo (ej: backtracking, generar todo, etc)."</f>
        <v/>
      </c>
    </row>
    <row r="32"/>
    <row r="33">
      <c r="A33" s="2" t="inlineStr">
        <is>
          <t>(0 a 3)</t>
        </is>
      </c>
      <c r="B33" s="2" t="inlineStr">
        <is>
          <t>🎚️Nivel</t>
        </is>
      </c>
    </row>
    <row r="34">
      <c r="A34" t="n">
        <v>2</v>
      </c>
      <c r="B34" s="3">
        <f>IF(A34=0,"No suficiente",IF(A34=1,"Trainee",IF(A34=2,"Junior","SemiSr")))</f>
        <v/>
      </c>
    </row>
    <row r="35"/>
    <row r="36">
      <c r="B36" s="2" t="inlineStr">
        <is>
          <t>⭐Aspectos que destacan (positivos o negativos), o impresiones generales</t>
        </is>
      </c>
    </row>
    <row r="37">
      <c r="A37" t="inlineStr">
        <is>
          <t>Código limpio y bien organizado con funciones separadas.</t>
        </is>
      </c>
    </row>
    <row r="38">
      <c r="A38" t="inlineStr">
        <is>
          <t>Manejo de errores adecuado en lectura de archivos.</t>
        </is>
      </c>
    </row>
    <row r="39">
      <c r="A39" t="inlineStr">
        <is>
          <t>Configuración parametrizada para directorios de archivos.</t>
        </is>
      </c>
    </row>
    <row r="40">
      <c r="A40" t="inlineStr">
        <is>
          <t>Algoritmo greedy inteligente (rarest_first) para Parte B.</t>
        </is>
      </c>
      <c r="B40" s="4" t="n"/>
    </row>
    <row r="41">
      <c r="B41" s="2" t="inlineStr">
        <is>
          <t>📝 Otras notas de corrección</t>
        </is>
      </c>
    </row>
    <row r="42">
      <c r="A42" t="inlineStr">
        <is>
          <t>Devuelve 5 usuarios en lugar de 4 (óptimo). El algoritmo greedy rarest_first</t>
        </is>
      </c>
      <c r="B42" s="4" t="n"/>
    </row>
    <row r="43">
      <c r="A43" t="inlineStr">
        <is>
          <t>es inteligente pero no garantiza el mínimo. Parte B cubre todos los módulos.</t>
        </is>
      </c>
      <c r="B43" s="4" t="n"/>
    </row>
    <row r="44">
      <c r="A44" t="inlineStr">
        <is>
          <t>Falta explicación en README sobre por qué se eligió el algoritmo greedy</t>
        </is>
      </c>
    </row>
    <row r="45">
      <c r="A45" t="inlineStr">
        <is>
          <t>en lugar de exhaustive search o backtracking.</t>
        </is>
      </c>
    </row>
    <row r="46">
      <c r="B46" s="2" t="inlineStr">
        <is>
          <t>🎁 Feedback</t>
        </is>
      </c>
    </row>
    <row r="47">
      <c r="A47" t="inlineStr">
        <is>
          <t>Excelente implementación general. Considera usar backtracking si necesitas</t>
        </is>
      </c>
    </row>
    <row r="48">
      <c r="A48" t="inlineStr">
        <is>
          <t>garantizar el mínimo de usuarios (4). El nombre rarest_first explica bien</t>
        </is>
      </c>
    </row>
    <row r="49">
      <c r="A49" t="inlineStr">
        <is>
          <t>la estrategia. Documenta en el README las limitaciones del greedy.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63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1</v>
      </c>
      <c r="B4" s="2">
        <f>IF(A4=1,"✅", "❌") &amp; "Documenta la versión de la tecnología en la que programó la prueba."</f>
        <v/>
      </c>
    </row>
    <row r="5"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B8" s="2">
        <f>IF(A8=1,"✅", "❌") &amp; "El output es consistente (todo por consola o todo por archivos)."</f>
        <v/>
      </c>
    </row>
    <row r="9"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B12" s="2">
        <f>IF(A12=1,"✅", "❌❗") &amp; "No hardcodea los providers que espera encontrar (authx.provider_y)"</f>
        <v/>
      </c>
    </row>
    <row r="13">
      <c r="B13" s="2" t="n"/>
    </row>
    <row r="14">
      <c r="B14" s="2" t="inlineStr">
        <is>
          <t>👨🏻‍💻 Usabilidad Front</t>
        </is>
      </c>
    </row>
    <row r="15">
      <c r="B15" s="2">
        <f>IF(A15=1,"✅", "❌")&amp;"Queda seleccionado el boton del modulo o submodulo"</f>
        <v/>
      </c>
    </row>
    <row r="16">
      <c r="B16" s="2">
        <f>IF(A16=1,"✅", "❌")&amp;"Los headers dicen lo que pide la letra"</f>
        <v/>
      </c>
    </row>
    <row r="17">
      <c r="B17" s="2">
        <f>IF(A17=1,"✅", "❌")&amp;"Los botones dicen lo que pide la letra"</f>
        <v/>
      </c>
    </row>
    <row r="18">
      <c r="B18" s="2">
        <f>IF(A18=1,"✅", "❌")&amp;"Se utiliza el ruteo de react"</f>
        <v/>
      </c>
    </row>
    <row r="19">
      <c r="B19" s="2">
        <f>IF(A19=1,"✅", "❌")&amp;"Similitud visual del modulo a la letra"</f>
        <v/>
      </c>
    </row>
    <row r="20">
      <c r="B20" s="2">
        <f>IF(A20=1,"✅", "❌")&amp;"Similitud visual de los botones a la letra"</f>
        <v/>
      </c>
    </row>
    <row r="21">
      <c r="B21" s="2">
        <f>IF(A21=1,"✅", "❌")&amp;"Responsive"</f>
        <v/>
      </c>
    </row>
    <row r="22">
      <c r="B22" s="2" t="n"/>
    </row>
    <row r="23">
      <c r="B23" s="2" t="inlineStr">
        <is>
          <t>🍝 Calidad del código</t>
        </is>
      </c>
    </row>
    <row r="24">
      <c r="B24" s="2">
        <f>IF(A24=1,"✅", "❌") &amp;"Es consistente con la nomenclatura (camelCase o snake_case)"</f>
        <v/>
      </c>
    </row>
    <row r="25">
      <c r="B25" s="2">
        <f>IF(A25=1,"✅", "❌")&amp;"Los comentarios son adecuados (dicen cosas útiles)."</f>
        <v/>
      </c>
    </row>
    <row r="26">
      <c r="B26" s="2">
        <f>IF(A26=1,"✅", "❌")&amp;"No hay comentarios excesivos."</f>
        <v/>
      </c>
    </row>
    <row r="27">
      <c r="B27" s="2">
        <f>IF(A27=1,"✅", "❌")&amp;"Escribe de acuerdo a las convenciones de la tecnología."</f>
        <v/>
      </c>
    </row>
    <row r="28">
      <c r="B28" s="2">
        <f>IF(A28=1,"✅", "❌")&amp;"Divide el problema en funciones chicas y concretas."</f>
        <v/>
      </c>
    </row>
    <row r="29">
      <c r="B29" s="2">
        <f>IF(A29=1,"✅", "❌❗")&amp;"No hay código duplicado."</f>
        <v/>
      </c>
    </row>
    <row r="30">
      <c r="B30" s="2">
        <f>IF(A30=1,"✅", "❌")&amp;"No tiene código mal indentado."</f>
        <v/>
      </c>
    </row>
    <row r="31">
      <c r="B31" s="2">
        <f>IF(A31=1,"✅", "❌")&amp;"No tiene formato irregular (espacios o enters donde no debería)."</f>
        <v/>
      </c>
    </row>
    <row r="32">
      <c r="B32" s="2">
        <f>IF(A32=1,"✅😀", "❌")&amp;"Tiene error handling."</f>
        <v/>
      </c>
    </row>
    <row r="33"/>
    <row r="34">
      <c r="B34" s="2" t="inlineStr">
        <is>
          <t>🍝 Calidad del código Front</t>
        </is>
      </c>
    </row>
    <row r="35">
      <c r="B35" s="2">
        <f>IF(A35=1,"✅", "❌")&amp;"Crea componentes genéricos para el boton"</f>
        <v/>
      </c>
    </row>
    <row r="36">
      <c r="B36" s="2">
        <f>IF(A36=1,"✅😀", "❌")&amp;"Crea componentes genéricos para el Contenedor (header + content)"</f>
        <v/>
      </c>
    </row>
    <row r="37">
      <c r="B37" s="2">
        <f>IF(A37=1,"✅", "❌")&amp;"Usa destructuring de las props"</f>
        <v/>
      </c>
    </row>
    <row r="38">
      <c r="B38" s="2">
        <f>IF(A38=1,"✅😀", "❌")&amp;"Utiliza el redux store"</f>
        <v/>
      </c>
    </row>
    <row r="39">
      <c r="B39" s="2">
        <f>IF(A39=1,"✅", "❌")&amp;"Genera otra carpeta para los componentes genéricos"</f>
        <v/>
      </c>
    </row>
    <row r="40">
      <c r="B40" s="2">
        <f>IF(A40=1,"✅", "❌")&amp;"El css está desacoplado"</f>
        <v/>
      </c>
    </row>
    <row r="41">
      <c r="B41" s="2">
        <f>IF(A41=1,"✅", "❌")&amp;"Usa scss"</f>
        <v/>
      </c>
    </row>
    <row r="42">
      <c r="B42" s="2">
        <f>IF(A42=1,"✅", "❌❗")&amp;"Usa solo componentes funcionales o no funcionales (no los mezcla)"</f>
        <v/>
      </c>
    </row>
    <row r="43">
      <c r="B43" s="2">
        <f>IF(A43=1,"✅", "❌")&amp;"Separa las constantes en archivos"</f>
        <v/>
      </c>
    </row>
    <row r="44">
      <c r="B44" s="2">
        <f>IF(A44=1,"✅😀", "❌")&amp;"Arquitectura clara (CSS puesto junto al componente)"</f>
        <v/>
      </c>
    </row>
    <row r="45"/>
    <row r="46">
      <c r="B46" s="2" t="inlineStr">
        <is>
          <t>🛠️ Eficacia y Eficiencia</t>
        </is>
      </c>
    </row>
    <row r="47">
      <c r="B47" s="2">
        <f>IF(A47=1,"✅", "❌❗")&amp;"Parte A correcta"</f>
        <v/>
      </c>
    </row>
    <row r="48"/>
    <row r="49"/>
    <row r="50">
      <c r="A50" s="2" t="inlineStr">
        <is>
          <t>(0 a 3)</t>
        </is>
      </c>
      <c r="B50" s="2" t="inlineStr">
        <is>
          <t>🎚️Nivel</t>
        </is>
      </c>
    </row>
    <row r="51">
      <c r="A51" s="2" t="n">
        <v>3</v>
      </c>
      <c r="B51" s="3">
        <f>IF(A51=0,"No suficiente",IF(A51=1,"Trainee",IF(A51=2,"Junior","SemiSr")))</f>
        <v/>
      </c>
    </row>
    <row r="52"/>
    <row r="53">
      <c r="B53" s="2" t="inlineStr">
        <is>
          <t>⭐Aspectos que destacan (positivos o negativos), o impresiones generales</t>
        </is>
      </c>
    </row>
    <row r="54"/>
    <row r="55"/>
    <row r="56">
      <c r="B56" s="2" t="inlineStr">
        <is>
          <t>📝 Otras notas de corrección</t>
        </is>
      </c>
    </row>
    <row r="57">
      <c r="B57" s="4" t="n"/>
    </row>
    <row r="58">
      <c r="B58" s="4" t="n"/>
    </row>
    <row r="59">
      <c r="B59" s="4" t="n"/>
    </row>
    <row r="60">
      <c r="B60" s="4" t="n"/>
    </row>
    <row r="61"/>
    <row r="62"/>
    <row r="63">
      <c r="B63" s="2" t="inlineStr">
        <is>
          <t>🎁 Feedback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50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0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1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1</v>
      </c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4"/>
    <row r="15">
      <c r="B15" s="2" t="inlineStr">
        <is>
          <t>🍝 Calidad del código</t>
        </is>
      </c>
    </row>
    <row r="16">
      <c r="A16" s="2" t="n">
        <v>1</v>
      </c>
      <c r="B16" s="2">
        <f>IF(A16=1,"✅", "❌") &amp;"Es consistente con la nomenclatura (camelCase o snake_case)"</f>
        <v/>
      </c>
    </row>
    <row r="17">
      <c r="A17" s="2" t="n">
        <v>1</v>
      </c>
      <c r="B17" s="2">
        <f>IF(A17=1,"✅", "❌")&amp;"Los comentarios son adecuados (dicen cosas útiles)."</f>
        <v/>
      </c>
    </row>
    <row r="18">
      <c r="A18" s="2" t="n">
        <v>1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1</v>
      </c>
      <c r="B20" s="2">
        <f>IF(A20=1,"✅", "❌")&amp;"Divide el problema en funciones chicas y concretas."</f>
        <v/>
      </c>
    </row>
    <row r="21">
      <c r="A21" s="2" t="n">
        <v>1</v>
      </c>
      <c r="B21" s="2">
        <f>IF(A21=1,"✅", "❌")&amp;"No repite el código de la parte A."</f>
        <v/>
      </c>
    </row>
    <row r="22">
      <c r="A22" s="2" t="n">
        <v>0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0</v>
      </c>
      <c r="B25" s="2">
        <f>IF(A25=1,"✅😀", "❌")&amp;"Tiene error handling."</f>
        <v/>
      </c>
    </row>
    <row r="26"/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1</v>
      </c>
      <c r="B30" s="2">
        <f>IF(A30=1,"✅", "❌")&amp;"Busca un set reducido (ej: ordenar por los que usan más módulos)."</f>
        <v/>
      </c>
    </row>
    <row r="31">
      <c r="A31" s="2" t="n">
        <v>1</v>
      </c>
      <c r="B31" s="2">
        <f>IF(A31=1,"✅😀", "❌")&amp;"Asegura el set mínimo (ej: backtracking, generar todo, etc)."</f>
        <v/>
      </c>
    </row>
    <row r="32"/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2</v>
      </c>
      <c r="B34" s="3">
        <f>IF(A34=0,"No suficiente",IF(A34=1,"Trainee",IF(A34=2,"Junior","SemiSr")))</f>
        <v/>
      </c>
    </row>
    <row r="35"/>
    <row r="36">
      <c r="B36" s="2" t="inlineStr">
        <is>
          <t>⭐Aspectos que destacan (positivos o negativos), o impresiones generales</t>
        </is>
      </c>
    </row>
    <row r="37">
      <c r="B37" s="2" t="inlineStr">
        <is>
          <t>Es desprolijo por hardcodear límites a la búsqueda de solución</t>
        </is>
      </c>
    </row>
    <row r="38"/>
    <row r="39">
      <c r="B39" s="2" t="inlineStr">
        <is>
          <t>📝 Otras notas de corrección</t>
        </is>
      </c>
    </row>
    <row r="40">
      <c r="B40" s="4" t="inlineStr">
        <is>
          <t>La documentación dice "correr el archivo", no es suficiente</t>
        </is>
      </c>
    </row>
    <row r="41">
      <c r="B41" s="4" t="inlineStr">
        <is>
          <t>Indica como cambiar el path, pero no esta en un lugar "fácil" del código</t>
        </is>
      </c>
    </row>
    <row r="42">
      <c r="B42" s="5" t="inlineStr">
        <is>
          <t>En la parte A duplica el código para generar la salida</t>
        </is>
      </c>
    </row>
    <row r="43">
      <c r="B43" s="4" t="inlineStr">
        <is>
          <t>En la parte B hardcodea la cantidad de cosas a generar, lo cual puede no generar una solución si hay más módulos</t>
        </is>
      </c>
    </row>
    <row r="44">
      <c r="B44" s="4" t="inlineStr">
        <is>
          <t>Más allá de eso, demuestra conocimiento de Python (usa cosas "avanzadas" del lenguaje: itertools)</t>
        </is>
      </c>
    </row>
    <row r="45">
      <c r="B45" s="5" t="inlineStr">
        <is>
          <t>Una variable está mal escrita (posibilities)</t>
        </is>
      </c>
    </row>
    <row r="46">
      <c r="B46" s="2" t="inlineStr">
        <is>
          <t>Parece ser bueno técnicamente, pero desprolijo</t>
        </is>
      </c>
    </row>
    <row r="47"/>
    <row r="48">
      <c r="B48" s="2" t="inlineStr">
        <is>
          <t>🎁 Feedback</t>
        </is>
      </c>
    </row>
    <row r="49">
      <c r="B49" s="2" t="inlineStr">
        <is>
          <t>Tené cuidado con utilizar límites que dependen de los datos de entrada. Dejas fijo el máximo de combinaciones que probas.</t>
        </is>
      </c>
    </row>
    <row r="50">
      <c r="B50" s="2" t="inlineStr">
        <is>
          <t>Sería más claro que utilizaras el valor de retorno de una función en vez de usar los parámetros como "in-out"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47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1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A8" s="2" t="n">
        <v>0</v>
      </c>
      <c r="B8" s="2">
        <f>IF(A8=1,"✅", "❌") &amp; "El output es consistente (todo por consola o todo por archivos)."</f>
        <v/>
      </c>
    </row>
    <row r="9">
      <c r="A9" s="2" t="n">
        <v>1</v>
      </c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4"/>
    <row r="15">
      <c r="B15" s="2" t="inlineStr">
        <is>
          <t>🍝 Calidad del código</t>
        </is>
      </c>
    </row>
    <row r="16">
      <c r="A16" s="2" t="n">
        <v>1</v>
      </c>
      <c r="B16" s="2">
        <f>IF(A16=1,"✅", "❌") &amp;"Es consistente con la nomenclatura (camelCase o snake_case)"</f>
        <v/>
      </c>
    </row>
    <row r="17">
      <c r="A17" s="2" t="n">
        <v>1</v>
      </c>
      <c r="B17" s="2">
        <f>IF(A17=1,"✅", "❌")&amp;"Los comentarios son adecuados (dicen cosas útiles)."</f>
        <v/>
      </c>
    </row>
    <row r="18">
      <c r="A18" s="2" t="n">
        <v>1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1</v>
      </c>
      <c r="B20" s="2">
        <f>IF(A20=1,"✅", "❌")&amp;"Divide el problema en funciones chicas y concretas."</f>
        <v/>
      </c>
    </row>
    <row r="21">
      <c r="A21" s="2" t="n">
        <v>0</v>
      </c>
      <c r="B21" s="2">
        <f>IF(A21=1,"✅", "❌")&amp;"No repite el código de la parte A."</f>
        <v/>
      </c>
    </row>
    <row r="22">
      <c r="A22" s="2" t="n">
        <v>1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1</v>
      </c>
      <c r="B25" s="2">
        <f>IF(A25=1,"✅😀", "❌")&amp;"Tiene error handling."</f>
        <v/>
      </c>
    </row>
    <row r="26"/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1</v>
      </c>
      <c r="B30" s="2">
        <f>IF(A30=1,"✅", "❌")&amp;"Busca un set reducido (ej: ordenar por los que usan más módulos)."</f>
        <v/>
      </c>
    </row>
    <row r="31">
      <c r="A31" s="2" t="n">
        <v>1</v>
      </c>
      <c r="B31" s="2">
        <f>IF(A31=1,"✅😀", "❌")&amp;"Asegura el set mínimo (ej: backtracking, generar todo, etc)."</f>
        <v/>
      </c>
    </row>
    <row r="32"/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3</v>
      </c>
      <c r="B34" s="3">
        <f>IF(A34=0,"No suficiente",IF(A34=1,"Trainee",IF(A34=2,"Junior","SemiSr")))</f>
        <v/>
      </c>
    </row>
    <row r="35"/>
    <row r="36">
      <c r="B36" s="2" t="inlineStr">
        <is>
          <t>⭐Aspectos que destacan (positivos o negativos), o impresiones generales</t>
        </is>
      </c>
    </row>
    <row r="37">
      <c r="B37" s="2" t="inlineStr">
        <is>
          <t>(+) Organizado</t>
        </is>
      </c>
    </row>
    <row r="38"/>
    <row r="39">
      <c r="B39" s="2" t="inlineStr">
        <is>
          <t>📝 Otras notas de corrección</t>
        </is>
      </c>
    </row>
    <row r="40">
      <c r="B40" s="4" t="inlineStr">
        <is>
          <t>No repite exactamente el código de la parte A, ya que arma una estructura distinta, pero hubiera estado mejor no repetir</t>
        </is>
      </c>
    </row>
    <row r="41">
      <c r="B41" s="4" t="inlineStr">
        <is>
          <t>Muestra buen conocimiento de Python</t>
        </is>
      </c>
    </row>
    <row r="42">
      <c r="B42" s="4" t="n"/>
    </row>
    <row r="43">
      <c r="B43" s="4" t="n"/>
    </row>
    <row r="44"/>
    <row r="45"/>
    <row r="46">
      <c r="B46" s="2" t="inlineStr">
        <is>
          <t>🎁 Feedback</t>
        </is>
      </c>
    </row>
    <row r="47">
      <c r="B47" s="2" t="inlineStr">
        <is>
          <t>La única mejora es agregar unit tests, y tratar de reutilizar el código de la parte A en la parte 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47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0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0</v>
      </c>
      <c r="B9" s="2">
        <f>IF(A9=1,"✅", "❌") &amp; "Parametriza los archivos en la ejecución (archivo de config, o constante)"</f>
        <v/>
      </c>
    </row>
    <row r="10">
      <c r="A10" s="2" t="n">
        <v>0</v>
      </c>
      <c r="B10" s="2">
        <f>IF(A10=1,"✅", "❌") &amp; "No hardcodea el nombre de archivos (u*.json)"</f>
        <v/>
      </c>
    </row>
    <row r="11">
      <c r="A11" s="2" t="n">
        <v>0</v>
      </c>
      <c r="B11" s="2">
        <f>IF(A11=1,"✅", "❌❗") &amp; "No hardcodea la cantidad de archivos (20)"</f>
        <v/>
      </c>
    </row>
    <row r="12">
      <c r="A12" s="2" t="n">
        <v>0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4"/>
    <row r="15">
      <c r="B15" s="2" t="inlineStr">
        <is>
          <t>🍝 Calidad del código</t>
        </is>
      </c>
    </row>
    <row r="16">
      <c r="A16" s="2" t="n">
        <v>1</v>
      </c>
      <c r="B16" s="2">
        <f>IF(A16=1,"✅", "❌") &amp;"Es consistente con la nomenclatura (camelCase o snake_case)"</f>
        <v/>
      </c>
    </row>
    <row r="17">
      <c r="A17" s="2" t="n">
        <v>0</v>
      </c>
      <c r="B17" s="2">
        <f>IF(A17=1,"✅", "❌")&amp;"Los comentarios son adecuados (dicen cosas útiles)."</f>
        <v/>
      </c>
    </row>
    <row r="18">
      <c r="A18" s="2" t="n">
        <v>0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1</v>
      </c>
      <c r="B20" s="2">
        <f>IF(A20=1,"✅", "❌")&amp;"Divide el problema en funciones chicas y concretas."</f>
        <v/>
      </c>
    </row>
    <row r="21">
      <c r="A21" s="2" t="n">
        <v>1</v>
      </c>
      <c r="B21" s="2">
        <f>IF(A21=1,"✅", "❌")&amp;"No repite el código de la parte A."</f>
        <v/>
      </c>
    </row>
    <row r="22">
      <c r="A22" s="2" t="n">
        <v>1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0</v>
      </c>
      <c r="B25" s="2">
        <f>IF(A25=1,"✅😀", "❌")&amp;"Tiene error handling."</f>
        <v/>
      </c>
    </row>
    <row r="26"/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0</v>
      </c>
      <c r="B30" s="2">
        <f>IF(A30=1,"✅", "❌")&amp;"Busca un set reducido (ej: ordenar por los que usan más módulos)."</f>
        <v/>
      </c>
    </row>
    <row r="31">
      <c r="A31" s="2" t="n">
        <v>0</v>
      </c>
      <c r="B31" s="2">
        <f>IF(A31=1,"✅😀", "❌")&amp;"Asegura el set mínimo (ej: backtracking, generar todo, etc)."</f>
        <v/>
      </c>
    </row>
    <row r="32"/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0</v>
      </c>
      <c r="B34" s="3">
        <f>IF(A34=0,"No suficiente",IF(A34=1,"Trainee",IF(A34=2,"Junior","SemiSr")))</f>
        <v/>
      </c>
    </row>
    <row r="35"/>
    <row r="36">
      <c r="B36" s="2" t="inlineStr">
        <is>
          <t>⭐Aspectos que destacan (positivos o negativos), o impresiones generales</t>
        </is>
      </c>
    </row>
    <row r="37">
      <c r="B37" s="2" t="inlineStr">
        <is>
          <t>(-) Todo en la parte A esta hardcodeado</t>
        </is>
      </c>
    </row>
    <row r="38"/>
    <row r="39">
      <c r="B39" s="2" t="inlineStr">
        <is>
          <t>📝 Otras notas de corrección</t>
        </is>
      </c>
    </row>
    <row r="40">
      <c r="B40" s="4" t="inlineStr">
        <is>
          <t>Users es global pero la pasa por parámetro (y la función no toma parámetros)</t>
        </is>
      </c>
    </row>
    <row r="41">
      <c r="B41" s="4" t="n"/>
    </row>
    <row r="42">
      <c r="B42" s="4" t="n"/>
    </row>
    <row r="43">
      <c r="B43" s="4" t="n"/>
    </row>
    <row r="44"/>
    <row r="45"/>
    <row r="46">
      <c r="B46" s="2" t="inlineStr">
        <is>
          <t>🎁 Feedback</t>
        </is>
      </c>
    </row>
    <row r="47">
      <c r="B47" s="2" t="inlineStr">
        <is>
          <t>Tendrías que concentrarte en ver cómo realizar soluciones génericas, en las que puedas cambiar los archivos que se usan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B47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1</v>
      </c>
      <c r="B4" s="2">
        <f>IF(A4=1,"✅", "❌") &amp; "Documenta la versión de la tecnología en la que programó la prueba."</f>
        <v/>
      </c>
    </row>
    <row r="5">
      <c r="A5" s="2" t="n">
        <v>0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0</v>
      </c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4"/>
    <row r="15">
      <c r="B15" s="2" t="inlineStr">
        <is>
          <t>🍝 Calidad del código</t>
        </is>
      </c>
    </row>
    <row r="16">
      <c r="A16" s="2" t="n">
        <v>0</v>
      </c>
      <c r="B16" s="2">
        <f>IF(A16=1,"✅", "❌") &amp;"Es consistente con la nomenclatura (camelCase o snake_case)"</f>
        <v/>
      </c>
    </row>
    <row r="17">
      <c r="A17" s="2" t="n">
        <v>1</v>
      </c>
      <c r="B17" s="2">
        <f>IF(A17=1,"✅", "❌")&amp;"Los comentarios son adecuados (dicen cosas útiles)."</f>
        <v/>
      </c>
    </row>
    <row r="18">
      <c r="A18" s="2" t="n">
        <v>1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0</v>
      </c>
      <c r="B20" s="2">
        <f>IF(A20=1,"✅", "❌")&amp;"Divide el problema en funciones chicas y concretas."</f>
        <v/>
      </c>
    </row>
    <row r="21">
      <c r="A21" s="2" t="n">
        <v>1</v>
      </c>
      <c r="B21" s="2">
        <f>IF(A21=1,"✅", "❌")&amp;"No repite el código de la parte A."</f>
        <v/>
      </c>
    </row>
    <row r="22">
      <c r="A22" s="2" t="n">
        <v>1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1</v>
      </c>
      <c r="B25" s="2">
        <f>IF(A25=1,"✅😀", "❌")&amp;"Tiene error handling."</f>
        <v/>
      </c>
    </row>
    <row r="26"/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0</v>
      </c>
      <c r="B30" s="2">
        <f>IF(A30=1,"✅", "❌")&amp;"Busca un set reducido (ej: ordenar por los que usan más módulos)."</f>
        <v/>
      </c>
    </row>
    <row r="31">
      <c r="A31" s="2" t="n">
        <v>0</v>
      </c>
      <c r="B31" s="2">
        <f>IF(A31=1,"✅😀", "❌")&amp;"Asegura el set mínimo (ej: backtracking, generar todo, etc)."</f>
        <v/>
      </c>
    </row>
    <row r="32"/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1</v>
      </c>
      <c r="B34" s="3">
        <f>IF(A34=0,"No suficiente",IF(A34=1,"Trainee",IF(A34=2,"Junior","SemiSr")))</f>
        <v/>
      </c>
    </row>
    <row r="35"/>
    <row r="36">
      <c r="B36" s="2" t="inlineStr">
        <is>
          <t>⭐Aspectos que destacan (positivos o negativos), o impresiones generales</t>
        </is>
      </c>
    </row>
    <row r="37">
      <c r="B37" s="2" t="inlineStr">
        <is>
          <t>(+) Le falta por crecer, pero con todo es bastante limpio el código</t>
        </is>
      </c>
    </row>
    <row r="38"/>
    <row r="39">
      <c r="B39" s="2" t="inlineStr">
        <is>
          <t>📝 Otras notas de corrección</t>
        </is>
      </c>
    </row>
    <row r="40">
      <c r="B40" s="4" t="inlineStr">
        <is>
          <t>Es Java, asi que el error handling es obligatorio</t>
        </is>
      </c>
    </row>
    <row r="41">
      <c r="B41" s="4" t="inlineStr">
        <is>
          <t>La parte B es entreverada</t>
        </is>
      </c>
    </row>
    <row r="42">
      <c r="B42" s="4" t="inlineStr">
        <is>
          <t>Le haría bien poner más comentarios</t>
        </is>
      </c>
    </row>
    <row r="43">
      <c r="B43" s="4" t="n"/>
    </row>
    <row r="44"/>
    <row r="45"/>
    <row r="46">
      <c r="B46" s="2" t="inlineStr">
        <is>
          <t>🎁 Feedback</t>
        </is>
      </c>
    </row>
    <row r="47">
      <c r="B47" s="2" t="inlineStr">
        <is>
          <t>Sería más fácil de entender el código si pusieras comentarios explicando qué estás intentando hacer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B48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1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1</v>
      </c>
      <c r="B9" s="2">
        <f>IF(A9=1,"✅", "❌") &amp; "Parametriza los archivos en la ejecución (archivo de config, o constante)"</f>
        <v/>
      </c>
    </row>
    <row r="10">
      <c r="A10" s="2" t="n">
        <v>0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4"/>
    <row r="15">
      <c r="B15" s="2" t="inlineStr">
        <is>
          <t>🍝 Calidad del código</t>
        </is>
      </c>
    </row>
    <row r="16">
      <c r="A16" s="2" t="n">
        <v>1</v>
      </c>
      <c r="B16" s="2">
        <f>IF(A16=1,"✅", "❌") &amp;"Es consistente con la nomenclatura (camelCase o snake_case)"</f>
        <v/>
      </c>
    </row>
    <row r="17">
      <c r="A17" s="2" t="n">
        <v>0</v>
      </c>
      <c r="B17" s="2">
        <f>IF(A17=1,"✅", "❌")&amp;"Los comentarios son adecuados (dicen cosas útiles)."</f>
        <v/>
      </c>
    </row>
    <row r="18">
      <c r="A18" s="2" t="n">
        <v>1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1</v>
      </c>
      <c r="B20" s="2">
        <f>IF(A20=1,"✅", "❌")&amp;"Divide el problema en funciones chicas y concretas."</f>
        <v/>
      </c>
    </row>
    <row r="21">
      <c r="A21" s="2" t="n">
        <v>1</v>
      </c>
      <c r="B21" s="2">
        <f>IF(A21=1,"✅", "❌")&amp;"No repite el código de la parte A."</f>
        <v/>
      </c>
    </row>
    <row r="22">
      <c r="A22" s="2" t="n">
        <v>1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0</v>
      </c>
      <c r="B25" s="2">
        <f>IF(A25=1,"✅😀", "❌")&amp;"Tiene error handling."</f>
        <v/>
      </c>
    </row>
    <row r="26"/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1</v>
      </c>
      <c r="B30" s="2">
        <f>IF(A30=1,"✅", "❌")&amp;"Busca un set reducido (ej: ordenar por los que usan más módulos)."</f>
        <v/>
      </c>
    </row>
    <row r="31">
      <c r="A31" s="2" t="n">
        <v>1</v>
      </c>
      <c r="B31" s="2">
        <f>IF(A31=1,"✅😀", "❌")&amp;"Asegura el set mínimo (ej: backtracking, generar todo, etc)."</f>
        <v/>
      </c>
    </row>
    <row r="32"/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2</v>
      </c>
      <c r="B34" s="3">
        <f>IF(A34=0,"No suficiente",IF(A34=1,"Trainee",IF(A34=2,"Junior","SemiSr")))</f>
        <v/>
      </c>
    </row>
    <row r="35"/>
    <row r="36">
      <c r="B36" s="2" t="inlineStr">
        <is>
          <t>⭐Aspectos que destacan (positivos o negativos), o impresiones generales</t>
        </is>
      </c>
    </row>
    <row r="37">
      <c r="B37" s="2" t="inlineStr">
        <is>
          <t>(-) La solución es más compleja de lo necesaria</t>
        </is>
      </c>
    </row>
    <row r="38"/>
    <row r="39">
      <c r="B39" s="2" t="inlineStr">
        <is>
          <t>📝 Otras notas de corrección</t>
        </is>
      </c>
    </row>
    <row r="40">
      <c r="B40" s="4" t="inlineStr">
        <is>
          <t>No hardcodea la cantidad de archivos, pero es un valor de configuración (en vez de leer todos los archivos de la carpeta)</t>
        </is>
      </c>
    </row>
    <row r="41">
      <c r="B41" s="4" t="inlineStr">
        <is>
          <t>Mucho boilerplate. La solución es mucho más compleja de lo necesaria.</t>
        </is>
      </c>
    </row>
    <row r="42">
      <c r="B42" s="4" t="inlineStr">
        <is>
          <t>Le faltan más comentarios explicativos</t>
        </is>
      </c>
    </row>
    <row r="43">
      <c r="B43" s="4" t="n"/>
    </row>
    <row r="44"/>
    <row r="45"/>
    <row r="46">
      <c r="B46" s="2" t="inlineStr">
        <is>
          <t>🎁 Feedback</t>
        </is>
      </c>
    </row>
    <row r="47">
      <c r="B47" s="2" t="inlineStr">
        <is>
          <t>Hubiera sido más sencillo realizarlo como herramienta de línea de comandos en vez de un servidor</t>
        </is>
      </c>
    </row>
    <row r="48">
      <c r="B48" s="2" t="inlineStr">
        <is>
          <t>Sería bueno agregar un poco más de comentarios explicando qué es lo que está haciendo el código.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B47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1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1</v>
      </c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4"/>
    <row r="15">
      <c r="B15" s="2" t="inlineStr">
        <is>
          <t>🍝 Calidad del código</t>
        </is>
      </c>
    </row>
    <row r="16">
      <c r="A16" s="2" t="n">
        <v>1</v>
      </c>
      <c r="B16" s="2">
        <f>IF(A16=1,"✅", "❌") &amp;"Es consistente con la nomenclatura (camelCase o snake_case)"</f>
        <v/>
      </c>
    </row>
    <row r="17">
      <c r="A17" s="2" t="n">
        <v>1</v>
      </c>
      <c r="B17" s="2">
        <f>IF(A17=1,"✅", "❌")&amp;"Los comentarios son adecuados (dicen cosas útiles)."</f>
        <v/>
      </c>
    </row>
    <row r="18">
      <c r="A18" s="2" t="n">
        <v>1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0</v>
      </c>
      <c r="B20" s="2">
        <f>IF(A20=1,"✅", "❌")&amp;"Divide el problema en funciones chicas y concretas."</f>
        <v/>
      </c>
    </row>
    <row r="21">
      <c r="A21" s="2" t="n">
        <v>1</v>
      </c>
      <c r="B21" s="2">
        <f>IF(A21=1,"✅", "❌")&amp;"No repite el código de la parte A."</f>
        <v/>
      </c>
    </row>
    <row r="22">
      <c r="A22" s="2" t="n">
        <v>1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1</v>
      </c>
      <c r="B25" s="2">
        <f>IF(A25=1,"✅😀", "❌")&amp;"Tiene error handling."</f>
        <v/>
      </c>
    </row>
    <row r="26"/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1</v>
      </c>
      <c r="B30" s="2">
        <f>IF(A30=1,"✅", "❌")&amp;"Busca un set reducido (ej: ordenar por los que usan más módulos)."</f>
        <v/>
      </c>
    </row>
    <row r="31">
      <c r="A31" s="2" t="n">
        <v>0</v>
      </c>
      <c r="B31" s="2">
        <f>IF(A31=1,"✅😀", "❌")&amp;"Asegura el set mínimo (ej: backtracking, generar todo, etc)."</f>
        <v/>
      </c>
    </row>
    <row r="32"/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1</v>
      </c>
      <c r="B34" s="3">
        <f>IF(A34=0,"No suficiente",IF(A34=1,"Trainee",IF(A34=2,"Junior","SemiSr")))</f>
        <v/>
      </c>
    </row>
    <row r="35"/>
    <row r="36">
      <c r="B36" s="2" t="inlineStr">
        <is>
          <t>⭐Aspectos que destacan (positivos o negativos), o impresiones generales</t>
        </is>
      </c>
    </row>
    <row r="37">
      <c r="B37" s="2" t="inlineStr">
        <is>
          <t>Me gusta que maneja excepciones!</t>
        </is>
      </c>
    </row>
    <row r="38"/>
    <row r="39">
      <c r="B39" s="2" t="inlineStr">
        <is>
          <t>📝 Otras notas de corrección</t>
        </is>
      </c>
    </row>
    <row r="40">
      <c r="B40" s="4" t="inlineStr">
        <is>
          <t>Algunos comentarios son innecesarios.</t>
        </is>
      </c>
    </row>
    <row r="41">
      <c r="B41" s="4" t="inlineStr">
        <is>
          <t>La parte B devuelve 6</t>
        </is>
      </c>
    </row>
    <row r="42">
      <c r="B42" s="4" t="n"/>
    </row>
    <row r="43">
      <c r="B43" s="4" t="n"/>
    </row>
    <row r="44"/>
    <row r="45"/>
    <row r="46">
      <c r="B46" s="2" t="inlineStr">
        <is>
          <t>🎁 Feedback</t>
        </is>
      </c>
    </row>
    <row r="47">
      <c r="B47" s="4" t="inlineStr">
        <is>
          <t>Esta prolijo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B64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0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0</v>
      </c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B13" s="2" t="n"/>
    </row>
    <row r="14">
      <c r="B14" s="2" t="inlineStr">
        <is>
          <t>👨🏻‍💻 Usabilidad Front</t>
        </is>
      </c>
    </row>
    <row r="15">
      <c r="A15" s="2" t="n">
        <v>1</v>
      </c>
      <c r="B15" s="2">
        <f>IF(A15=1,"✅", "❌")&amp;"Queda seleccionado el boton del modulo o submodulo"</f>
        <v/>
      </c>
    </row>
    <row r="16">
      <c r="A16" s="2" t="n">
        <v>1</v>
      </c>
      <c r="B16" s="2">
        <f>IF(A16=1,"✅", "❌")&amp;"Los headers dicen lo que pide la letra"</f>
        <v/>
      </c>
    </row>
    <row r="17">
      <c r="A17" s="2" t="n">
        <v>1</v>
      </c>
      <c r="B17" s="2">
        <f>IF(A17=1,"✅", "❌")&amp;"Los botones dicen lo que pide la letra"</f>
        <v/>
      </c>
    </row>
    <row r="18">
      <c r="A18" s="2" t="n">
        <v>0</v>
      </c>
      <c r="B18" s="2">
        <f>IF(A18=1,"✅", "❌")&amp;"Se utiliza el ruteo de react"</f>
        <v/>
      </c>
    </row>
    <row r="19">
      <c r="A19" s="2" t="n">
        <v>1</v>
      </c>
      <c r="B19" s="2">
        <f>IF(A19=1,"✅", "❌")&amp;"Similitud visual del modulo a la letra"</f>
        <v/>
      </c>
    </row>
    <row r="20">
      <c r="A20" s="2" t="n">
        <v>1</v>
      </c>
      <c r="B20" s="2">
        <f>IF(A20=1,"✅", "❌")&amp;"Similitud visual de los botones a la letra"</f>
        <v/>
      </c>
    </row>
    <row r="21">
      <c r="A21" s="2" t="n">
        <v>1</v>
      </c>
      <c r="B21" s="2">
        <f>IF(A21=1,"✅", "❌")&amp;"Responsive"</f>
        <v/>
      </c>
    </row>
    <row r="22">
      <c r="B22" s="2" t="n"/>
    </row>
    <row r="23">
      <c r="B23" s="2" t="inlineStr">
        <is>
          <t>🍝 Calidad del código</t>
        </is>
      </c>
    </row>
    <row r="24">
      <c r="A24" s="2" t="n">
        <v>1</v>
      </c>
      <c r="B24" s="2">
        <f>IF(A24=1,"✅", "❌") &amp;"Es consistente con la nomenclatura (camelCase o snake_case)"</f>
        <v/>
      </c>
    </row>
    <row r="25">
      <c r="A25" s="2" t="n">
        <v>1</v>
      </c>
      <c r="B25" s="2">
        <f>IF(A25=1,"✅", "❌")&amp;"Los comentarios son adecuados (dicen cosas útiles)."</f>
        <v/>
      </c>
    </row>
    <row r="26">
      <c r="A26" s="2" t="n">
        <v>1</v>
      </c>
      <c r="B26" s="2">
        <f>IF(A26=1,"✅", "❌")&amp;"No hay comentarios excesivos."</f>
        <v/>
      </c>
    </row>
    <row r="27">
      <c r="A27" s="2" t="n">
        <v>1</v>
      </c>
      <c r="B27" s="2">
        <f>IF(A27=1,"✅", "❌")&amp;"Escribe de acuerdo a las convenciones de la tecnología."</f>
        <v/>
      </c>
    </row>
    <row r="28">
      <c r="A28" s="2" t="n">
        <v>1</v>
      </c>
      <c r="B28" s="2">
        <f>IF(A28=1,"✅", "❌")&amp;"Divide el problema en funciones chicas y concretas."</f>
        <v/>
      </c>
    </row>
    <row r="29">
      <c r="A29" s="2" t="n">
        <v>1</v>
      </c>
      <c r="B29" s="2">
        <f>IF(A29=1,"✅", "❌❗")&amp;"No hay código duplicado."</f>
        <v/>
      </c>
    </row>
    <row r="30">
      <c r="A30" s="2" t="n">
        <v>0</v>
      </c>
      <c r="B30" s="2">
        <f>IF(A30=1,"✅", "❌")&amp;"No tiene código mal indentado."</f>
        <v/>
      </c>
    </row>
    <row r="31">
      <c r="A31" s="2" t="n">
        <v>1</v>
      </c>
      <c r="B31" s="2">
        <f>IF(A31=1,"✅", "❌")&amp;"No tiene formato irregular (espacios o enters donde no debería)."</f>
        <v/>
      </c>
    </row>
    <row r="32">
      <c r="A32" s="2" t="n">
        <v>0</v>
      </c>
      <c r="B32" s="2">
        <f>IF(A32=1,"✅😀", "❌")&amp;"Tiene error handling."</f>
        <v/>
      </c>
    </row>
    <row r="33"/>
    <row r="34">
      <c r="B34" s="2" t="inlineStr">
        <is>
          <t>🍝 Calidad del código Front</t>
        </is>
      </c>
    </row>
    <row r="35">
      <c r="A35" s="2" t="n">
        <v>0</v>
      </c>
      <c r="B35" s="2">
        <f>IF(A35=1,"✅", "❌")&amp;"Crea componentes genéricos para el boton"</f>
        <v/>
      </c>
    </row>
    <row r="36">
      <c r="A36" s="2" t="n">
        <v>1</v>
      </c>
      <c r="B36" s="2">
        <f>IF(A36=1,"✅😀", "❌")&amp;"Crea componentes genéricos para el Contenedor (header + content)"</f>
        <v/>
      </c>
    </row>
    <row r="37">
      <c r="A37" s="2" t="n">
        <v>0</v>
      </c>
      <c r="B37" s="2">
        <f>IF(A37=1,"✅", "❌")&amp;"Usa destructuring de las props"</f>
        <v/>
      </c>
    </row>
    <row r="38">
      <c r="A38" s="2" t="n">
        <v>0</v>
      </c>
      <c r="B38" s="2">
        <f>IF(A38=1,"✅😀", "❌")&amp;"Utiliza el redux store"</f>
        <v/>
      </c>
    </row>
    <row r="39">
      <c r="A39" s="2" t="n">
        <v>1</v>
      </c>
      <c r="B39" s="2">
        <f>IF(A39=1,"✅", "❌")&amp;"Genera otra carpeta para los componentes genéricos"</f>
        <v/>
      </c>
    </row>
    <row r="40">
      <c r="A40" s="2" t="n">
        <v>1</v>
      </c>
      <c r="B40" s="2">
        <f>IF(A40=1,"✅", "❌")&amp;"El css está desacoplado"</f>
        <v/>
      </c>
    </row>
    <row r="41">
      <c r="A41" s="2" t="n">
        <v>0</v>
      </c>
      <c r="B41" s="2">
        <f>IF(A41=1,"✅", "❌")&amp;"Usa scss"</f>
        <v/>
      </c>
    </row>
    <row r="42">
      <c r="A42" s="2" t="n">
        <v>1</v>
      </c>
      <c r="B42" s="2">
        <f>IF(A42=1,"✅", "❌❗")&amp;"Usa solo componentes funcionales o no funcionales (no los mezcla)"</f>
        <v/>
      </c>
    </row>
    <row r="43">
      <c r="A43" s="2" t="n">
        <v>0</v>
      </c>
      <c r="B43" s="2">
        <f>IF(A43=1,"✅", "❌")&amp;"Separa las constantes en archivos"</f>
        <v/>
      </c>
    </row>
    <row r="44">
      <c r="A44" s="2" t="n">
        <v>0</v>
      </c>
      <c r="B44" s="2">
        <f>IF(A44=1,"✅😀", "❌")&amp;"Arquitectura clara (CSS puesto junto al componente)"</f>
        <v/>
      </c>
    </row>
    <row r="45"/>
    <row r="46">
      <c r="B46" s="2" t="inlineStr">
        <is>
          <t>🛠️ Eficacia y Eficiencia</t>
        </is>
      </c>
    </row>
    <row r="47">
      <c r="A47" s="2" t="n">
        <v>1</v>
      </c>
      <c r="B47" s="2">
        <f>IF(A47=1,"✅", "❌❗")&amp;"Parte A correcta"</f>
        <v/>
      </c>
    </row>
    <row r="48"/>
    <row r="49"/>
    <row r="50">
      <c r="A50" s="2" t="inlineStr">
        <is>
          <t>(0 a 3)</t>
        </is>
      </c>
      <c r="B50" s="2" t="inlineStr">
        <is>
          <t>🎚️Nivel</t>
        </is>
      </c>
    </row>
    <row r="51">
      <c r="A51" s="2" t="n">
        <v>2</v>
      </c>
      <c r="B51" s="3">
        <f>IF(A51=0,"No suficiente",IF(A51=1,"Trainee",IF(A51=2,"Junior","SemiSr")))</f>
        <v/>
      </c>
    </row>
    <row r="52"/>
    <row r="53">
      <c r="B53" s="2" t="inlineStr">
        <is>
          <t>⭐Aspectos que destacan (positivos o negativos), o impresiones generales</t>
        </is>
      </c>
    </row>
    <row r="54">
      <c r="B54" s="2" t="inlineStr">
        <is>
          <t>(+) Generalizo los headers</t>
        </is>
      </c>
    </row>
    <row r="55">
      <c r="B55" s="2" t="inlineStr">
        <is>
          <t>(+) Utilizo los hooks de una manera correcta, se nota que conoce React funcional</t>
        </is>
      </c>
    </row>
    <row r="56"/>
    <row r="57">
      <c r="B57" s="4" t="n"/>
    </row>
    <row r="58">
      <c r="B58" s="2" t="inlineStr">
        <is>
          <t>📝 Otras notas de corrección</t>
        </is>
      </c>
    </row>
    <row r="59">
      <c r="B59" s="4" t="inlineStr">
        <is>
          <t>Border con semi senior si hubiera aplicado las cosas del feedback</t>
        </is>
      </c>
    </row>
    <row r="60">
      <c r="B60" s="4" t="n"/>
    </row>
    <row r="61"/>
    <row r="62"/>
    <row r="63">
      <c r="B63" s="2" t="inlineStr">
        <is>
          <t>🎁 Feedback</t>
        </is>
      </c>
    </row>
    <row r="64">
      <c r="B64" s="2" t="inlineStr">
        <is>
          <t>Se nota que conoces CSS, la view te quedo muy parecida a la letra y resolviste el codigo de muy buena manera.
Me hubiera gustado que asi como generalizaste el headers, generalizaras el boton. 
A su vez podrias haber estructurado mejor el proyecto.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B75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B4" s="2">
        <f>IF(A4=1,"✅", "❌") &amp; "Documenta la versión de la tecnología en la que programó la prueba."</f>
        <v/>
      </c>
    </row>
    <row r="5">
      <c r="A5" s="2" t="n">
        <v>1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B8" s="2">
        <f>IF(A8=1,"✅", "❌") &amp; "El output es consistente (todo por consola o todo por archivos)."</f>
        <v/>
      </c>
    </row>
    <row r="9"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B13" s="2" t="n"/>
    </row>
    <row r="14">
      <c r="B14" s="2" t="inlineStr">
        <is>
          <t>👨🏻‍💻 Usabilidad Front</t>
        </is>
      </c>
    </row>
    <row r="15">
      <c r="A15" s="2" t="n">
        <v>1</v>
      </c>
      <c r="B15" s="2">
        <f>IF(A15=1,"✅", "❌")&amp;"Queda seleccionado el boton del modulo o submodulo"</f>
        <v/>
      </c>
    </row>
    <row r="16">
      <c r="B16" s="2">
        <f>IF(A16=1,"✅", "❌")&amp;"Los headers dicen lo que pide la letra"</f>
        <v/>
      </c>
    </row>
    <row r="17">
      <c r="B17" s="2">
        <f>IF(A17=1,"✅", "❌")&amp;"Los botones dicen lo que pide la letra"</f>
        <v/>
      </c>
    </row>
    <row r="18">
      <c r="B18" s="2">
        <f>IF(A18=1,"✅", "❌")&amp;"Se utiliza el ruteo de react"</f>
        <v/>
      </c>
    </row>
    <row r="19">
      <c r="B19" s="2">
        <f>IF(A19=1,"✅", "❌")&amp;"Similitud visual del modulo a la letra"</f>
        <v/>
      </c>
    </row>
    <row r="20">
      <c r="A20" s="2" t="n">
        <v>1</v>
      </c>
      <c r="B20" s="2">
        <f>IF(A20=1,"✅", "❌")&amp;"Similitud visual de los botones a la letra"</f>
        <v/>
      </c>
    </row>
    <row r="21">
      <c r="A21" s="2" t="n">
        <v>1</v>
      </c>
      <c r="B21" s="2">
        <f>IF(A21=1,"✅", "❌")&amp;"Responsive"</f>
        <v/>
      </c>
    </row>
    <row r="22">
      <c r="B22" s="2" t="n"/>
    </row>
    <row r="23">
      <c r="B23" s="2" t="inlineStr">
        <is>
          <t>🍝 Calidad del código</t>
        </is>
      </c>
    </row>
    <row r="24">
      <c r="A24" s="2" t="n">
        <v>1</v>
      </c>
      <c r="B24" s="2">
        <f>IF(A24=1,"✅", "❌") &amp;"Es consistente con la nomenclatura (camelCase o snake_case)"</f>
        <v/>
      </c>
    </row>
    <row r="25">
      <c r="A25" s="2" t="n">
        <v>1</v>
      </c>
      <c r="B25" s="2">
        <f>IF(A25=1,"✅", "❌")&amp;"Los comentarios son adecuados (dicen cosas útiles)."</f>
        <v/>
      </c>
    </row>
    <row r="26">
      <c r="A26" s="2" t="n">
        <v>1</v>
      </c>
      <c r="B26" s="2">
        <f>IF(A26=1,"✅", "❌")&amp;"No hay comentarios excesivos."</f>
        <v/>
      </c>
    </row>
    <row r="27">
      <c r="A27" s="2" t="n">
        <v>1</v>
      </c>
      <c r="B27" s="2">
        <f>IF(A27=1,"✅", "❌")&amp;"Escribe de acuerdo a las convenciones de la tecnología."</f>
        <v/>
      </c>
    </row>
    <row r="28">
      <c r="B28" s="2">
        <f>IF(A28=1,"✅", "❌")&amp;"Divide el problema en funciones chicas y concretas."</f>
        <v/>
      </c>
    </row>
    <row r="29">
      <c r="A29" s="2" t="n">
        <v>1</v>
      </c>
      <c r="B29" s="2">
        <f>IF(A29=1,"✅", "❌❗")&amp;"No hay código duplicado."</f>
        <v/>
      </c>
    </row>
    <row r="30">
      <c r="A30" s="2" t="n">
        <v>1</v>
      </c>
      <c r="B30" s="2">
        <f>IF(A30=1,"✅", "❌")&amp;"No tiene código mal indentado."</f>
        <v/>
      </c>
    </row>
    <row r="31">
      <c r="A31" s="2" t="n">
        <v>1</v>
      </c>
      <c r="B31" s="2">
        <f>IF(A31=1,"✅", "❌")&amp;"No tiene formato irregular (espacios o enters donde no debería)."</f>
        <v/>
      </c>
    </row>
    <row r="32">
      <c r="B32" s="2">
        <f>IF(A32=1,"✅😀", "❌")&amp;"Tiene error handling."</f>
        <v/>
      </c>
    </row>
    <row r="33"/>
    <row r="34">
      <c r="B34" s="2" t="inlineStr">
        <is>
          <t>🍝 Calidad del código Front</t>
        </is>
      </c>
    </row>
    <row r="35">
      <c r="A35" s="2" t="n">
        <v>1</v>
      </c>
      <c r="B35" s="2">
        <f>IF(A35=1,"✅", "❌")&amp;"Crea componentes genéricos para el boton"</f>
        <v/>
      </c>
    </row>
    <row r="36">
      <c r="B36" s="2">
        <f>IF(A36=1,"✅😀", "❌")&amp;"Crea componentes genéricos para el Contenedor (header + content)"</f>
        <v/>
      </c>
    </row>
    <row r="37">
      <c r="A37" s="2" t="n">
        <v>1</v>
      </c>
      <c r="B37" s="2">
        <f>IF(A37=1,"✅", "❌")&amp;"Usa destructuring de las props"</f>
        <v/>
      </c>
    </row>
    <row r="38">
      <c r="B38" s="2">
        <f>IF(A38=1,"✅😀", "❌")&amp;"Utiliza el redux store"</f>
        <v/>
      </c>
    </row>
    <row r="39">
      <c r="A39" s="2" t="n">
        <v>1</v>
      </c>
      <c r="B39" s="2">
        <f>IF(A39=1,"✅", "❌")&amp;"Genera otra carpeta para los componentes genéricos"</f>
        <v/>
      </c>
    </row>
    <row r="40">
      <c r="B40" s="2">
        <f>IF(A40=1,"✅", "❌")&amp;"El css está desacoplado"</f>
        <v/>
      </c>
    </row>
    <row r="41">
      <c r="B41" s="2">
        <f>IF(A41=1,"✅", "❌")&amp;"Usa scss"</f>
        <v/>
      </c>
    </row>
    <row r="42">
      <c r="A42" s="2" t="n">
        <v>1</v>
      </c>
      <c r="B42" s="2">
        <f>IF(A42=1,"✅", "❌❗")&amp;"Usa solo componentes funcionales o no funcionales (no los mezcla)"</f>
        <v/>
      </c>
    </row>
    <row r="43">
      <c r="B43" s="2">
        <f>IF(A43=1,"✅", "❌")&amp;"Separa las constantes en archivos"</f>
        <v/>
      </c>
    </row>
    <row r="44">
      <c r="B44" s="2">
        <f>IF(A44=1,"✅😀", "❌")&amp;"Arquitectura clara (CSS puesto junto al componente)"</f>
        <v/>
      </c>
    </row>
    <row r="45"/>
    <row r="46">
      <c r="B46" s="2" t="inlineStr">
        <is>
          <t>🛠️ Eficacia y Eficiencia</t>
        </is>
      </c>
    </row>
    <row r="47">
      <c r="A47" s="2" t="n">
        <v>1</v>
      </c>
      <c r="B47" s="2">
        <f>IF(A47=1,"✅", "❌❗")&amp;"Parte A correcta"</f>
        <v/>
      </c>
    </row>
    <row r="48"/>
    <row r="49"/>
    <row r="50">
      <c r="A50" s="2" t="inlineStr">
        <is>
          <t>(0 a 3)</t>
        </is>
      </c>
      <c r="B50" s="2" t="inlineStr">
        <is>
          <t>🎚️Nivel</t>
        </is>
      </c>
    </row>
    <row r="51">
      <c r="A51" s="2" t="n">
        <v>1</v>
      </c>
      <c r="B51" s="3">
        <f>IF(A51=0,"No suficiente",IF(A51=1,"Trainee",IF(A51=2,"Junior","SemiSr")))</f>
        <v/>
      </c>
    </row>
    <row r="52"/>
    <row r="53">
      <c r="B53" s="2" t="inlineStr">
        <is>
          <t>⭐Aspectos que destacan (positivos o negativos), o impresiones generales</t>
        </is>
      </c>
    </row>
    <row r="54">
      <c r="B54" s="2" t="inlineStr">
        <is>
          <t>Genera componentes genéricos</t>
        </is>
      </c>
    </row>
    <row r="55">
      <c r="B55" s="2" t="inlineStr">
        <is>
          <t>Mal formateo de código en react</t>
        </is>
      </c>
    </row>
    <row r="56"/>
    <row r="57">
      <c r="B57" s="4" t="n"/>
    </row>
    <row r="58">
      <c r="B58" s="2" t="inlineStr">
        <is>
          <t>📝 Otras notas de corrección</t>
        </is>
      </c>
    </row>
    <row r="59">
      <c r="B59" s="4" t="inlineStr">
        <is>
          <t>✅ Parece organizado a la hora de codear y hace componentes genéricos (aunque lo podría hacer mejor)</t>
        </is>
      </c>
    </row>
    <row r="60">
      <c r="B60" s="4" t="inlineStr">
        <is>
          <t>✅ Explica lo que hace en Ingles y se hace entender</t>
        </is>
      </c>
    </row>
    <row r="61">
      <c r="B61" s="2" t="inlineStr">
        <is>
          <t>✅ Está bastante bien la prueba para haber aprendido react al hacerla</t>
        </is>
      </c>
    </row>
    <row r="62">
      <c r="B62" s="2" t="inlineStr">
        <is>
          <t>❌ Mezcla estandares de python en Js</t>
        </is>
      </c>
    </row>
    <row r="63">
      <c r="B63" s="2" t="inlineStr">
        <is>
          <t>❌ Tiene espacios y tabs wtf en el código de react que no se explican</t>
        </is>
      </c>
    </row>
    <row r="64">
      <c r="B64" s="2" t="inlineStr">
        <is>
          <t>❌ No le cambia los nombres a los botones para que sigan lo que pide la letra</t>
        </is>
      </c>
    </row>
    <row r="65">
      <c r="B65" s="2" t="inlineStr">
        <is>
          <t>❌ Necesitaría hacer un curso de react y un poco de ayuda para mejorar su division de componentes (no fue mala pero tampoco fue la mejor ni la esperada)</t>
        </is>
      </c>
    </row>
    <row r="66">
      <c r="B66" s="2" t="inlineStr">
        <is>
          <t>❌ No aparenta saber muy bien css</t>
        </is>
      </c>
    </row>
    <row r="67"/>
    <row r="68"/>
    <row r="69"/>
    <row r="70"/>
    <row r="71">
      <c r="B71" s="2" t="inlineStr">
        <is>
          <t>🎁 Feedback</t>
        </is>
      </c>
    </row>
    <row r="72">
      <c r="B72" s="2" t="inlineStr">
        <is>
          <t>Deberías tratar de seguir el estándar de código del lenguaje</t>
        </is>
      </c>
    </row>
    <row r="73">
      <c r="B73" s="2" t="inlineStr">
        <is>
          <t>Es importante prestar atención a la hora de formatear el código para que este sea fácilmente legible</t>
        </is>
      </c>
    </row>
    <row r="74">
      <c r="B74" s="2" t="inlineStr">
        <is>
          <t>Sería bueno que comenzaras a desacoplar el CSS de los diferentes componentes para que los estilos de un componente no se acoplen a los del resto (ver css-modules o styled-components)</t>
        </is>
      </c>
    </row>
    <row r="75">
      <c r="B75" s="2" t="inlineStr">
        <is>
          <t>Si bien la parte A es corta y concisa estaría bueno que la dividieras en funciones para que se pueda entender más facilmente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B71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0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0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A8" s="2" t="n">
        <v>0</v>
      </c>
      <c r="B8" s="2">
        <f>IF(A8=1,"✅", "❌") &amp; "El output es consistente (todo por consola o todo por archivos)."</f>
        <v/>
      </c>
    </row>
    <row r="9">
      <c r="A9" s="2" t="n">
        <v>0</v>
      </c>
      <c r="B9" s="2">
        <f>IF(A9=1,"✅", "❌") &amp; "Parametriza los archivos en la ejecución (archivo de config, o constante)"</f>
        <v/>
      </c>
    </row>
    <row r="10">
      <c r="A10" s="2" t="n">
        <v>0</v>
      </c>
      <c r="B10" s="2">
        <f>IF(A10=1,"✅", "❌") &amp; "No hardcodea el nombre de archivos (u*.json)"</f>
        <v/>
      </c>
    </row>
    <row r="11">
      <c r="A11" s="2" t="n">
        <v>0</v>
      </c>
      <c r="B11" s="2">
        <f>IF(A11=1,"✅", "❌❗") &amp; "No hardcodea la cantidad de archivos (20)"</f>
        <v/>
      </c>
    </row>
    <row r="12">
      <c r="A12" s="2" t="n">
        <v>0</v>
      </c>
      <c r="B12" s="2">
        <f>IF(A12=1,"✅", "❌❗") &amp; "No hardcodea los providers que espera encontrar (authx.provider_y)"</f>
        <v/>
      </c>
    </row>
    <row r="13">
      <c r="B13" s="2" t="n"/>
    </row>
    <row r="14">
      <c r="B14" s="2" t="inlineStr">
        <is>
          <t>👨🏻‍💻 Usabilidad Front</t>
        </is>
      </c>
    </row>
    <row r="15">
      <c r="A15" s="2" t="n">
        <v>1</v>
      </c>
      <c r="B15" s="2">
        <f>IF(A15=1,"✅", "❌")&amp;"Queda seleccionado el boton del modulo o submodulo"</f>
        <v/>
      </c>
    </row>
    <row r="16">
      <c r="A16" s="2" t="n">
        <v>0</v>
      </c>
      <c r="B16" s="2">
        <f>IF(A16=1,"✅", "❌")&amp;"Los headers dicen lo que pide la letra"</f>
        <v/>
      </c>
    </row>
    <row r="17">
      <c r="A17" s="2" t="n">
        <v>0</v>
      </c>
      <c r="B17" s="2">
        <f>IF(A17=1,"✅", "❌")&amp;"Los botones dicen lo que pide la letra"</f>
        <v/>
      </c>
    </row>
    <row r="18">
      <c r="A18" s="2" t="n">
        <v>0</v>
      </c>
      <c r="B18" s="2">
        <f>IF(A18=1,"✅", "❌")&amp;"Se utiliza el ruteo de react"</f>
        <v/>
      </c>
    </row>
    <row r="19">
      <c r="A19" s="2" t="n">
        <v>0</v>
      </c>
      <c r="B19" s="2">
        <f>IF(A19=1,"✅", "❌")&amp;"Similitud visual del modulo a la letra"</f>
        <v/>
      </c>
    </row>
    <row r="20">
      <c r="A20" s="2" t="n">
        <v>0</v>
      </c>
      <c r="B20" s="2">
        <f>IF(A20=1,"✅", "❌")&amp;"Similitud visual de los botones a la letra"</f>
        <v/>
      </c>
    </row>
    <row r="21">
      <c r="A21" s="2" t="n">
        <v>1</v>
      </c>
      <c r="B21" s="2">
        <f>IF(A21=1,"✅", "❌")&amp;"Responsive"</f>
        <v/>
      </c>
    </row>
    <row r="22">
      <c r="B22" s="2" t="n"/>
    </row>
    <row r="23">
      <c r="B23" s="2" t="inlineStr">
        <is>
          <t>🍝 Calidad del código</t>
        </is>
      </c>
    </row>
    <row r="24">
      <c r="A24" s="2" t="n">
        <v>0</v>
      </c>
      <c r="B24" s="2">
        <f>IF(A24=1,"✅", "❌") &amp;"Es consistente con la nomenclatura (camelCase o snake_case)"</f>
        <v/>
      </c>
    </row>
    <row r="25">
      <c r="A25" s="2" t="n">
        <v>0</v>
      </c>
      <c r="B25" s="2">
        <f>IF(A25=1,"✅", "❌")&amp;"Los comentarios son adecuados (dicen cosas útiles)."</f>
        <v/>
      </c>
    </row>
    <row r="26">
      <c r="A26" s="2" t="n">
        <v>1</v>
      </c>
      <c r="B26" s="2">
        <f>IF(A26=1,"✅", "❌")&amp;"No hay comentarios excesivos."</f>
        <v/>
      </c>
    </row>
    <row r="27">
      <c r="A27" s="2" t="n">
        <v>0</v>
      </c>
      <c r="B27" s="2">
        <f>IF(A27=1,"✅", "❌")&amp;"Escribe de acuerdo a las convenciones de la tecnología."</f>
        <v/>
      </c>
    </row>
    <row r="28">
      <c r="A28" s="2" t="n">
        <v>0</v>
      </c>
      <c r="B28" s="2">
        <f>IF(A28=1,"✅", "❌")&amp;"Divide el problema en funciones chicas y concretas."</f>
        <v/>
      </c>
    </row>
    <row r="29">
      <c r="A29" s="2" t="n">
        <v>0</v>
      </c>
      <c r="B29" s="2">
        <f>IF(A29=1,"✅", "❌❗")&amp;"No hay código duplicado."</f>
        <v/>
      </c>
    </row>
    <row r="30">
      <c r="A30" s="2" t="n">
        <v>0</v>
      </c>
      <c r="B30" s="2">
        <f>IF(A30=1,"✅", "❌")&amp;"No tiene código mal indentado."</f>
        <v/>
      </c>
    </row>
    <row r="31">
      <c r="A31" s="2" t="n">
        <v>0</v>
      </c>
      <c r="B31" s="2">
        <f>IF(A31=1,"✅", "❌")&amp;"No tiene formato irregular (espacios o enters donde no debería)."</f>
        <v/>
      </c>
    </row>
    <row r="32">
      <c r="A32" s="2" t="n">
        <v>1</v>
      </c>
      <c r="B32" s="2">
        <f>IF(A32=1,"✅😀", "❌")&amp;"Tiene error handling."</f>
        <v/>
      </c>
    </row>
    <row r="33"/>
    <row r="34">
      <c r="B34" s="2" t="inlineStr">
        <is>
          <t>🍝 Calidad del código Front</t>
        </is>
      </c>
    </row>
    <row r="35">
      <c r="A35" s="2" t="n">
        <v>0</v>
      </c>
      <c r="B35" s="2">
        <f>IF(A35=1,"✅", "❌")&amp;"Crea componentes genéricos para el boton"</f>
        <v/>
      </c>
    </row>
    <row r="36">
      <c r="A36" s="2" t="n">
        <v>0</v>
      </c>
      <c r="B36" s="2">
        <f>IF(A36=1,"✅😀", "❌")&amp;"Crea componentes genéricos para el Contenedor (header + content)"</f>
        <v/>
      </c>
    </row>
    <row r="37">
      <c r="A37" s="2" t="n">
        <v>0</v>
      </c>
      <c r="B37" s="2">
        <f>IF(A37=1,"✅", "❌")&amp;"Usa destructuring de las props"</f>
        <v/>
      </c>
    </row>
    <row r="38">
      <c r="A38" s="2" t="n">
        <v>0</v>
      </c>
      <c r="B38" s="2">
        <f>IF(A38=1,"✅😀", "❌")&amp;"Utiliza el redux store"</f>
        <v/>
      </c>
    </row>
    <row r="39">
      <c r="A39" s="2" t="n">
        <v>0</v>
      </c>
      <c r="B39" s="2">
        <f>IF(A39=1,"✅", "❌")&amp;"Genera otra carpeta para los componentes genéricos"</f>
        <v/>
      </c>
    </row>
    <row r="40">
      <c r="A40" s="2" t="n">
        <v>0</v>
      </c>
      <c r="B40" s="2">
        <f>IF(A40=1,"✅", "❌")&amp;"El css está desacoplado"</f>
        <v/>
      </c>
    </row>
    <row r="41">
      <c r="A41" s="2" t="n">
        <v>0</v>
      </c>
      <c r="B41" s="2">
        <f>IF(A41=1,"✅", "❌")&amp;"Usa scss"</f>
        <v/>
      </c>
    </row>
    <row r="42">
      <c r="A42" s="2" t="n">
        <v>1</v>
      </c>
      <c r="B42" s="2">
        <f>IF(A42=1,"✅", "❌❗")&amp;"Usa solo componentes funcionales o no funcionales (no los mezcla)"</f>
        <v/>
      </c>
    </row>
    <row r="43">
      <c r="A43" s="2" t="n">
        <v>0</v>
      </c>
      <c r="B43" s="2">
        <f>IF(A43=1,"✅", "❌")&amp;"Separa las constantes en archivos"</f>
        <v/>
      </c>
    </row>
    <row r="44">
      <c r="A44" s="2" t="n">
        <v>0</v>
      </c>
      <c r="B44" s="2">
        <f>IF(A44=1,"✅😀", "❌")&amp;"Arquitectura clara (CSS puesto junto al componente)"</f>
        <v/>
      </c>
    </row>
    <row r="45"/>
    <row r="46">
      <c r="B46" s="2" t="inlineStr">
        <is>
          <t>🛠️ Eficacia y Eficiencia</t>
        </is>
      </c>
    </row>
    <row r="47">
      <c r="A47" s="2" t="n">
        <v>1</v>
      </c>
      <c r="B47" s="2">
        <f>IF(A47=1,"✅", "❌❗")&amp;"Parte A correcta"</f>
        <v/>
      </c>
    </row>
    <row r="48"/>
    <row r="49"/>
    <row r="50">
      <c r="A50" s="2" t="inlineStr">
        <is>
          <t>(0 a 3)</t>
        </is>
      </c>
      <c r="B50" s="2" t="inlineStr">
        <is>
          <t>🎚️Nivel</t>
        </is>
      </c>
    </row>
    <row r="51">
      <c r="A51" s="2" t="n">
        <v>0</v>
      </c>
      <c r="B51" s="3">
        <f>IF(A51=0,"No suficiente",IF(A51=1,"Trainee",IF(A51=2,"Junior","SemiSr")))</f>
        <v/>
      </c>
    </row>
    <row r="52"/>
    <row r="53">
      <c r="B53" s="2" t="inlineStr">
        <is>
          <t>⭐Aspectos que destacan (positivos o negativos), o impresiones generales</t>
        </is>
      </c>
    </row>
    <row r="54">
      <c r="B54" s="2" t="inlineStr">
        <is>
          <t>Codea hardcodeando todo</t>
        </is>
      </c>
    </row>
    <row r="55">
      <c r="B55" s="2" t="inlineStr">
        <is>
          <t>Escribe tanto en español como en ingles las variables</t>
        </is>
      </c>
    </row>
    <row r="56">
      <c r="B56" s="2" t="inlineStr">
        <is>
          <t>Usa document.getElementById en react</t>
        </is>
      </c>
    </row>
    <row r="57"/>
    <row r="58">
      <c r="B58" s="2" t="inlineStr">
        <is>
          <t>📝 Otras notas de corrección</t>
        </is>
      </c>
    </row>
    <row r="59">
      <c r="B59" s="4" t="inlineStr">
        <is>
          <t>No utiliza la parte A en la parte B</t>
        </is>
      </c>
    </row>
    <row r="60">
      <c r="B60" s="4" t="inlineStr">
        <is>
          <t>La pag no se parece (no tienen iconos los botones, los users estan separados por mucho espacio, etc)</t>
        </is>
      </c>
    </row>
    <row r="61">
      <c r="B61" s="4" t="inlineStr">
        <is>
          <t>Hardcodea y duplica mucho codigo</t>
        </is>
      </c>
    </row>
    <row r="62">
      <c r="B62" s="4" t="inlineStr">
        <is>
          <t>La nomenclatura de los componentes no es buena</t>
        </is>
      </c>
    </row>
    <row r="63">
      <c r="B63" s="4" t="inlineStr">
        <is>
          <t>No utiliza destructuring de props</t>
        </is>
      </c>
    </row>
    <row r="64">
      <c r="B64" s="4" t="inlineStr">
        <is>
          <t>No tiene una buena arquitectura de carpetas y componentes</t>
        </is>
      </c>
    </row>
    <row r="65">
      <c r="B65" s="4" t="n"/>
    </row>
    <row r="66"/>
    <row r="67"/>
    <row r="68">
      <c r="B68" s="2" t="inlineStr">
        <is>
          <t>🎁 Feedback</t>
        </is>
      </c>
    </row>
    <row r="69">
      <c r="B69" s="2" t="inlineStr">
        <is>
          <t>Estaria bueno que te enfoques en aprender las bases de React, cómo usar los hooks y cuáles son las buenas prácticas.</t>
        </is>
      </c>
    </row>
    <row r="70">
      <c r="B70" s="2" t="inlineStr">
        <is>
          <t>Es importante el aprender a separar los probelmas en funciones para poder asi reutilizar código en lugar de duplicarlo.</t>
        </is>
      </c>
    </row>
    <row r="71">
      <c r="B71" s="2" t="inlineStr">
        <is>
          <t>Hay que tratar de que el coódigo sea siempre extensible, no hardcodear las cosas que utilizamos, sino que esperarnos cualquier dato a futuro.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2026-04-15T18:34:51Z</dcterms:created>
  <dcterms:modified xmlns:dcterms="http://purl.org/dc/terms/" xmlns:xsi="http://www.w3.org/2001/XMLSchema-instance" xsi:type="dcterms:W3CDTF">2026-04-15T18:34:51Z</dcterms:modified>
</cp:coreProperties>
</file>