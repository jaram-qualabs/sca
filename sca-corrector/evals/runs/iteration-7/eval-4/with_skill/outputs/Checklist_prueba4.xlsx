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4" sheetId="1" state="visible" r:id="rId3"/>
    <sheet name="Template Backend" sheetId="2" state="visible" r:id="rId4"/>
    <sheet name="Template Frontend" sheetId="3" state="visible" r:id="rId5"/>
    <sheet name="Ejemplo del doc" sheetId="4" state="visible" r:id="rId6"/>
    <sheet name="Manual 1" sheetId="5" state="visible" r:id="rId7"/>
    <sheet name="Manual 2" sheetId="6" state="visible" r:id="rId8"/>
    <sheet name="Manual 3" sheetId="7" state="visible" r:id="rId9"/>
    <sheet name="Manual 4" sheetId="8" state="visible" r:id="rId10"/>
    <sheet name="Manual 5" sheetId="9" state="visible" r:id="rId11"/>
    <sheet name="Manual front 1" sheetId="10" state="visible" r:id="rId12"/>
    <sheet name="Manual front 2" sheetId="11" state="visible" r:id="rId13"/>
    <sheet name="Manual front 3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<sst xmlns="http://schemas.openxmlformats.org/spreadsheetml/2006/main" count="199" uniqueCount="83">
  <si>
    <t xml:space="preserve">(0 o 1)</t>
  </si>
  <si>
    <t xml:space="preserve">📚 Documentación</t>
  </si>
  <si>
    <t xml:space="preserve">👨🏻‍💻 Usabilidad</t>
  </si>
  <si>
    <t xml:space="preserve">🍝 Calidad del código</t>
  </si>
  <si>
    <t xml:space="preserve">🛠️ Eficacia y Eficiencia</t>
  </si>
  <si>
    <t xml:space="preserve">(0 a 3)</t>
  </si>
  <si>
    <t xml:space="preserve">🎚️Nivel</t>
  </si>
  <si>
    <t xml:space="preserve">⭐Aspectos que destacan (positivos o negativos), o impresiones generales</t>
  </si>
  <si>
    <t xml:space="preserve">Solución funcional con ambas partes correctas</t>
  </si>
  <si>
    <t xml:space="preserve">Resultado óptimo de 4 usuarios cubriendo todos los módulos</t>
  </si>
  <si>
    <t xml:space="preserve">Arquitectura bien organizada (Koa MVC)</t>
  </si>
  <si>
    <t xml:space="preserve">Algoritmo exhaustivo encontró la solución mínima</t>
  </si>
  <si>
    <t xml:space="preserve">📝 Otras notas de corrección</t>
  </si>
  <si>
    <t xml:space="preserve">Falta documentación de versión de Node.js en package.json (engines field)</t>
  </si>
  <si>
    <t xml:space="preserve">README no explica decisiones de diseño (¿por qué Koa?, ¿qué algoritmo usó?)</t>
  </si>
  <si>
    <t xml:space="preserve">Código tiene duplicación entre addUsersAuth y addUsersContent</t>
  </si>
  <si>
    <t xml:space="preserve">Sin comentarios explicando la lógica del algoritmo de búsqueda</t>
  </si>
  <si>
    <t xml:space="preserve">🎁 Feedback</t>
  </si>
  <si>
    <t xml:space="preserve">Excelente: tu solución funciona perfectamente. Próximas mejoras: documenta la versión de Node.js, explica las decisiones de arquitectura (¿por qué elegiste Koa?), añade comentarios en código complejo, y extrae la lógica duplicada a un helper.</t>
  </si>
  <si>
    <t xml:space="preserve">👨🏻‍💻 Usabilidad Front</t>
  </si>
  <si>
    <t xml:space="preserve">🍝 Calidad del código Front</t>
  </si>
  <si>
    <t xml:space="preserve">Es desprolijo por hardcodear límites a la búsqueda de solución</t>
  </si>
  <si>
    <t xml:space="preserve">La documentación dice "correr el archivo", no es suficiente</t>
  </si>
  <si>
    <t xml:space="preserve">Indica como cambiar el path, pero no esta en un lugar "fácil" del código</t>
  </si>
  <si>
    <t xml:space="preserve">En la parte A duplica el código para generar la salida</t>
  </si>
  <si>
    <t xml:space="preserve">En la parte B hardcodea la cantidad de cosas a generar, lo cual puede no generar una solución si hay más módulos</t>
  </si>
  <si>
    <t xml:space="preserve">Más allá de eso, demuestra conocimiento de Python (usa cosas "avanzadas" del lenguaje: itertools)</t>
  </si>
  <si>
    <t xml:space="preserve">Una variable está mal escrita (posibilities)</t>
  </si>
  <si>
    <t xml:space="preserve">Parece ser bueno técnicamente, pero desprolijo</t>
  </si>
  <si>
    <t xml:space="preserve">Tené cuidado con utilizar límites que dependen de los datos de entrada. Dejas fijo el máximo de combinaciones que probas.</t>
  </si>
  <si>
    <t xml:space="preserve">Sería más claro que utilizaras el valor de retorno de una función en vez de usar los parámetros como "in-out"</t>
  </si>
  <si>
    <t xml:space="preserve">(+) Organizado</t>
  </si>
  <si>
    <t xml:space="preserve">No repite exactamente el código de la parte A, ya que arma una estructura distinta, pero hubiera estado mejor no repetir</t>
  </si>
  <si>
    <t xml:space="preserve">Muestra buen conocimiento de Python</t>
  </si>
  <si>
    <t xml:space="preserve">La única mejora es agregar unit tests, y tratar de reutilizar el código de la parte A en la parte B</t>
  </si>
  <si>
    <t xml:space="preserve">(-) Todo en la parte A esta hardcodeado</t>
  </si>
  <si>
    <t xml:space="preserve">Users es global pero la pasa por parámetro (y la función no toma parámetros)</t>
  </si>
  <si>
    <t xml:space="preserve">Tendrías que concentrarte en ver cómo realizar soluciones génericas, en las que puedas cambiar los archivos que se usan</t>
  </si>
  <si>
    <t xml:space="preserve">(+) Le falta por crecer, pero con todo es bastante limpio el código</t>
  </si>
  <si>
    <t xml:space="preserve">Es Java, asi que el error handling es obligatorio</t>
  </si>
  <si>
    <t xml:space="preserve">La parte B es entreverada</t>
  </si>
  <si>
    <t xml:space="preserve">Le haría bien poner más comentarios</t>
  </si>
  <si>
    <t xml:space="preserve">Sería más fácil de entender el código si pusieras comentarios explicando qué estás intentando hacer</t>
  </si>
  <si>
    <t xml:space="preserve">(-) La solución es más compleja de lo necesaria</t>
  </si>
  <si>
    <t xml:space="preserve">No hardcodea la cantidad de archivos, pero es un valor de configuración (en vez de leer todos los archivos de la carpeta)</t>
  </si>
  <si>
    <t xml:space="preserve">Mucho boilerplate. La solución es mucho más compleja de lo necesaria.</t>
  </si>
  <si>
    <t xml:space="preserve">Le faltan más comentarios explicativos</t>
  </si>
  <si>
    <t xml:space="preserve">Hubiera sido más sencillo realizarlo como herramienta de línea de comandos en vez de un servidor</t>
  </si>
  <si>
    <t xml:space="preserve">Sería bueno agregar un poco más de comentarios explicando qué es lo que está haciendo el código.</t>
  </si>
  <si>
    <t xml:space="preserve">Me gusta que maneja excepciones!</t>
  </si>
  <si>
    <t xml:space="preserve">Algunos comentarios son innecesarios.</t>
  </si>
  <si>
    <t xml:space="preserve">La parte B devuelve 6</t>
  </si>
  <si>
    <t xml:space="preserve">Esta prolijo</t>
  </si>
  <si>
    <t xml:space="preserve">(+) Generalizo los headers</t>
  </si>
  <si>
    <t xml:space="preserve">(+) Utilizo los hooks de una manera correcta, se nota que conoce React funcional</t>
  </si>
  <si>
    <t xml:space="preserve">Border con semi senior si hubiera aplicado las cosas del feedback</t>
  </si>
  <si>
    <t xml:space="preserve">Se nota que conoces CSS, la view te quedo muy parecida a la letra y resolviste el codigo de muy buena manera.
Me hubiera gustado que asi como generalizaste el headers, generalizaras el boton. 
A su vez podrias haber estructurado mejor el proyecto.</t>
  </si>
  <si>
    <t xml:space="preserve">Genera componentes genéricos</t>
  </si>
  <si>
    <t xml:space="preserve">Mal formateo de código en react</t>
  </si>
  <si>
    <t xml:space="preserve">✅ Parece organizado a la hora de codear y hace componentes genéricos (aunque lo podría hacer mejor)</t>
  </si>
  <si>
    <t xml:space="preserve">✅ Explica lo que hace en Ingles y se hace entender</t>
  </si>
  <si>
    <t xml:space="preserve">✅ Está bastante bien la prueba para haber aprendido react al hacerla</t>
  </si>
  <si>
    <t xml:space="preserve">❌ Mezcla estandares de python en Js</t>
  </si>
  <si>
    <t xml:space="preserve">❌ Tiene espacios y tabs wtf en el código de react que no se explican</t>
  </si>
  <si>
    <t xml:space="preserve">❌ No le cambia los nombres a los botones para que sigan lo que pide la letra</t>
  </si>
  <si>
    <t xml:space="preserve">❌ Necesitaría hacer un curso de react y un poco de ayuda para mejorar su division de componentes (no fue mala pero tampoco fue la mejor ni la esperada)</t>
  </si>
  <si>
    <t xml:space="preserve">❌ No aparenta saber muy bien css</t>
  </si>
  <si>
    <t xml:space="preserve">Deberías tratar de seguir el estándar de código del lenguaje</t>
  </si>
  <si>
    <t xml:space="preserve">Es importante prestar atención a la hora de formatear el código para que este sea fácilmente legible</t>
  </si>
  <si>
    <t xml:space="preserve">Sería bueno que comenzaras a desacoplar el CSS de los diferentes componentes para que los estilos de un componente no se acoplen a los del resto (ver css-modules o styled-components)</t>
  </si>
  <si>
    <t xml:space="preserve">Si bien la parte A es corta y concisa estaría bueno que la dividieras en funciones para que se pueda entender más facilmente</t>
  </si>
  <si>
    <t xml:space="preserve">Codea hardcodeando todo</t>
  </si>
  <si>
    <t xml:space="preserve">Escribe tanto en español como en ingles las variables</t>
  </si>
  <si>
    <t xml:space="preserve">Usa document.getElementById en react</t>
  </si>
  <si>
    <t xml:space="preserve">No utiliza la parte A en la parte B</t>
  </si>
  <si>
    <t xml:space="preserve">La pag no se parece (no tienen iconos los botones, los users estan separados por mucho espacio, etc)</t>
  </si>
  <si>
    <t xml:space="preserve">Hardcodea y duplica mucho codigo</t>
  </si>
  <si>
    <t xml:space="preserve">La nomenclatura de los componentes no es buena</t>
  </si>
  <si>
    <t xml:space="preserve">No utiliza destructuring de props</t>
  </si>
  <si>
    <t xml:space="preserve">No tiene una buena arquitectura de carpetas y componentes</t>
  </si>
  <si>
    <t xml:space="preserve">Estaria bueno que te enfoques en aprender las bases de React, cómo usar los hooks y cuáles son las buenas prácticas.</t>
  </si>
  <si>
    <t xml:space="preserve">Es importante el aprender a separar los probelmas en funciones para poder asi reutilizar código en lugar de duplicarlo.</t>
  </si>
  <si>
    <t xml:space="preserve">Hay que tratar de que el coódigo sea siempre extensible, no hardcodear las cosas que utilizamos, sino que esperarnos cualquier dato a futuro.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</si>
</sst>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0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0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0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0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0" t="n">
        <v>1</v>
      </c>
      <c r="B9" s="1" t="str">
        <f aca="false">IF(A9=1,"✅", "❌") &amp; "Parametriza los archivos en la ejecución (archivo de config, constante, línea de comandos)"</f>
        <v>✅Parametriza los archivos en la ejecución (archivo de config, constante, línea de comandos)</v>
      </c>
    </row>
    <row r="10" customFormat="false" ht="15.75" hidden="false" customHeight="false" outlineLevel="0" collapsed="false">
      <c r="A10" s="0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0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0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0" t="n">
        <v>0</v>
      </c>
      <c r="B13" s="1" t="str">
        <f aca="false">IF(A13=1,"✅😀", "❌")&amp;"Imprime la salida como en la letra (sin las comas, JSON inválido), o cuestionó el formato."</f>
        <v>❌Imprime la salida como en la letra (sin las comas, JSON inválido), o cuestionó el formato.</v>
      </c>
    </row>
    <row r="14" customFormat="false" ht="15.75" hidden="false" customHeight="false" outlineLevel="0" collapsed="false"/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0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0" t="n">
        <v>0</v>
      </c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A18" s="0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0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0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0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0" t="n">
        <v>0</v>
      </c>
      <c r="B22" s="1" t="str">
        <f aca="false">IF(A22=1,"✅", "❌❗")&amp;"No hay código duplicado."</f>
        <v>❌❗No hay código duplicado.</v>
      </c>
    </row>
    <row r="23" customFormat="false" ht="15.75" hidden="false" customHeight="false" outlineLevel="0" collapsed="false">
      <c r="A23" s="0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0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0" t="n">
        <v>0</v>
      </c>
      <c r="B25" s="1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0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0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0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0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0" t="n">
        <v>2</v>
      </c>
      <c r="B34" s="2" t="str">
        <f aca="false">IF(A34=0,"No suficiente",IF(A34=1,"Trainee",IF(A34=2,"Junior","SemiSr")))</f>
        <v>Junior</v>
      </c>
    </row>
    <row r="35" customFormat="false" ht="15.75" hidden="false" customHeight="false" outlineLevel="0" collapsed="false"/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A37" s="0" t="s">
        <v>8</v>
      </c>
    </row>
    <row r="38" customFormat="false" ht="15.75" hidden="false" customHeight="false" outlineLevel="0" collapsed="false">
      <c r="A38" s="0" t="s">
        <v>9</v>
      </c>
    </row>
    <row r="39" customFormat="false" ht="15.75" hidden="false" customHeight="false" outlineLevel="0" collapsed="false">
      <c r="A39" s="0" t="s">
        <v>10</v>
      </c>
    </row>
    <row r="40" customFormat="false" ht="15.75" hidden="false" customHeight="false" outlineLevel="0" collapsed="false">
      <c r="A40" s="0" t="s">
        <v>11</v>
      </c>
      <c r="B40" s="3"/>
    </row>
    <row r="41" customFormat="false" ht="15.75" hidden="false" customHeight="false" outlineLevel="0" collapsed="false">
      <c r="B41" s="1" t="s">
        <v>12</v>
      </c>
    </row>
    <row r="42" customFormat="false" ht="15.75" hidden="false" customHeight="false" outlineLevel="0" collapsed="false">
      <c r="A42" s="0" t="s">
        <v>13</v>
      </c>
      <c r="B42" s="3"/>
    </row>
    <row r="43" customFormat="false" ht="15.75" hidden="false" customHeight="false" outlineLevel="0" collapsed="false">
      <c r="A43" s="0" t="s">
        <v>14</v>
      </c>
      <c r="B43" s="3"/>
    </row>
    <row r="44" customFormat="false" ht="15.75" hidden="false" customHeight="false" outlineLevel="0" collapsed="false">
      <c r="A44" s="0" t="s">
        <v>15</v>
      </c>
    </row>
    <row r="45" customFormat="false" ht="15.75" hidden="false" customHeight="false" outlineLevel="0" collapsed="false">
      <c r="A45" s="0" t="s">
        <v>16</v>
      </c>
    </row>
    <row r="46" customFormat="false" ht="15.75" hidden="false" customHeight="false" outlineLevel="0" collapsed="false">
      <c r="B46" s="1" t="s">
        <v>17</v>
      </c>
    </row>
    <row r="47" customFormat="false" ht="15.75" hidden="false" customHeight="false" outlineLevel="0" collapsed="false">
      <c r="A4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B3" s="1" t="str">
        <f aca="false">IF(A3=1,"✅", "❌") &amp; "Explica cómo correr el código."</f>
        <v>❌Explica cómo correr el código.</v>
      </c>
    </row>
    <row r="4" customFormat="false" ht="15.75" hidden="false" customHeight="false" outlineLevel="0" collapsed="false"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B9" s="1" t="str">
        <f aca="false">IF(A9=1,"✅", "❌") &amp; "Parametriza los archivos en la ejecución (archivo de config, constante, línea de comandos)"</f>
        <v>❌Parametriza los archivos en la ejecución (archivo de config, constante, línea de comandos)</v>
      </c>
    </row>
    <row r="10" customFormat="false" ht="15.75" hidden="false" customHeight="false" outlineLevel="0" collapsed="false"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B11" s="1" t="str">
        <f aca="false">IF(A11=1,"✅", "❌❗") &amp; "No hardcodea la cantidad de archivos (20)"</f>
        <v>❌❗No hardcodea la cantidad de archivos (20)</v>
      </c>
    </row>
    <row r="12" customFormat="false" ht="15.75" hidden="false" customHeight="false" outlineLevel="0" collapsed="false"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B13" s="1" t="str">
        <f aca="false">IF(A13=1,"✅😀", "❌")&amp;"Imprime la salida como en la letra (sin las comas, JSON inválido), o cuestionó el formato."</f>
        <v>❌Imprime la salida como en la letra (sin las comas, JSON inválido), o cuestionó el formato.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B16" s="1" t="str">
        <f aca="false">IF(A16=1,"✅", "❌") &amp;"Es consistente con la nomenclatura (camelCase o snake_case)"</f>
        <v>❌Es consistente con la nomenclatura (camelCase o snake_case)</v>
      </c>
    </row>
    <row r="17" customFormat="false" ht="15.75" hidden="false" customHeight="false" outlineLevel="0" collapsed="false"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B18" s="1" t="str">
        <f aca="false">IF(A18=1,"✅", "❌")&amp;"No hay comentarios excesivos."</f>
        <v>❌No hay comentarios excesivos.</v>
      </c>
    </row>
    <row r="19" customFormat="false" ht="15.75" hidden="false" customHeight="false" outlineLevel="0" collapsed="false">
      <c r="B19" s="1" t="str">
        <f aca="false">IF(A19=1,"✅", "❌")&amp;"Escribe de acuerdo a las convenciones de la tecnología."</f>
        <v>❌Escribe de acuerdo a las convenciones de la tecnología.</v>
      </c>
    </row>
    <row r="20" customFormat="false" ht="15.75" hidden="false" customHeight="false" outlineLevel="0" collapsed="false">
      <c r="B20" s="1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false" outlineLevel="0" collapsed="false">
      <c r="B21" s="1" t="str">
        <f aca="false">IF(A21=1,"✅", "❌")&amp;"No repite el código de la parte A."</f>
        <v>❌No repite el código de la parte A.</v>
      </c>
    </row>
    <row r="22" customFormat="false" ht="15.75" hidden="false" customHeight="false" outlineLevel="0" collapsed="false">
      <c r="B22" s="1" t="str">
        <f aca="false">IF(A22=1,"✅", "❌❗")&amp;"No hay código duplicado."</f>
        <v>❌❗No hay código duplicado.</v>
      </c>
    </row>
    <row r="23" customFormat="false" ht="15.75" hidden="false" customHeight="false" outlineLevel="0" collapsed="false">
      <c r="B23" s="1" t="str">
        <f aca="false">IF(A23=1,"✅", "❌")&amp;"No tiene código mal indentado."</f>
        <v>❌No tiene código mal indentado.</v>
      </c>
    </row>
    <row r="24" customFormat="false" ht="15.75" hidden="false" customHeight="false" outlineLevel="0" collapsed="false">
      <c r="B24" s="1" t="str">
        <f aca="false">IF(A24=1,"✅", "❌")&amp;"No tiene formato irregular (espacios o enters donde no debería)."</f>
        <v>❌No tiene formato irregular (espacios o enters donde no debería).</v>
      </c>
    </row>
    <row r="25" customFormat="false" ht="15.75" hidden="false" customHeight="false" outlineLevel="0" collapsed="false">
      <c r="B25" s="1" t="str">
        <f aca="false">IF(A25=1,"✅😀", "❌")&amp;"Tiene error handling."</f>
        <v>❌Tiene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B28" s="1" t="str">
        <f aca="false">IF(A28=1,"✅", "❌❗")&amp;"Parte A correcta"</f>
        <v>❌❗Parte A correcta</v>
      </c>
    </row>
    <row r="29" customFormat="false" ht="15.75" hidden="false" customHeight="false" outlineLevel="0" collapsed="false">
      <c r="B29" s="1" t="str">
        <f aca="false">IF(A29=1,"✅", "❌❗")&amp;"Consigue un set de usuarios que cubren todos los módulos."</f>
        <v>❌❗Consigue un set de usuarios que cubren todos los módulos.</v>
      </c>
    </row>
    <row r="30" customFormat="false" ht="15.75" hidden="false" customHeight="false" outlineLevel="0" collapsed="false">
      <c r="B30" s="1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false" outlineLevel="0" collapsed="false">
      <c r="B31" s="1" t="str">
        <f aca="false">IF(A31=1,"✅😀", "❌")&amp;"Asegura el set mínimo (ej: backtracking, generar todo, etc)."</f>
        <v>❌Asegura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40" customFormat="false" ht="15.75" hidden="false" customHeight="false" outlineLevel="0" collapsed="false">
      <c r="B40" s="3"/>
    </row>
    <row r="41" customFormat="false" ht="15.75" hidden="false" customHeight="false" outlineLevel="0" collapsed="false">
      <c r="B41" s="1" t="s">
        <v>12</v>
      </c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6" customFormat="false" ht="15.75" hidden="false" customHeight="false" outlineLevel="0" collapsed="false">
      <c r="B46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1</v>
      </c>
      <c r="B4" s="1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false" outlineLevel="0" collapsed="false"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19</v>
      </c>
    </row>
    <row r="15" customFormat="false" ht="15.75" hidden="false" customHeight="false" outlineLevel="0" collapsed="false">
      <c r="B15" s="1" t="str">
        <f aca="false">IF(A15=1,"✅", "❌")&amp;"Queda seleccionado el boton del modulo o submodulo"</f>
        <v>❌Queda seleccionado el boton del modulo o submodulo</v>
      </c>
    </row>
    <row r="16" customFormat="false" ht="15.75" hidden="false" customHeight="false" outlineLevel="0" collapsed="false">
      <c r="B16" s="1" t="str">
        <f aca="false">IF(A16=1,"✅", "❌")&amp;"Los headers dicen lo que pide la letra"</f>
        <v>❌Los headers dicen lo que pide la letra</v>
      </c>
    </row>
    <row r="17" customFormat="false" ht="15.75" hidden="false" customHeight="false" outlineLevel="0" collapsed="false">
      <c r="B17" s="1" t="str">
        <f aca="false">IF(A17=1,"✅", "❌")&amp;"Los botones dicen lo que pide la letra"</f>
        <v>❌Los botones dicen lo que pide la letra</v>
      </c>
    </row>
    <row r="18" customFormat="false" ht="15.75" hidden="false" customHeight="false" outlineLevel="0" collapsed="false"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B19" s="1" t="str">
        <f aca="false">IF(A19=1,"✅", "❌")&amp;"Similitud visual del modulo a la letra"</f>
        <v>❌Similitud visual del modulo a la letra</v>
      </c>
    </row>
    <row r="20" customFormat="false" ht="15.75" hidden="false" customHeight="false" outlineLevel="0" collapsed="false">
      <c r="B20" s="1" t="str">
        <f aca="false">IF(A20=1,"✅", "❌")&amp;"Similitud visual de los botones a la letra"</f>
        <v>❌Similitud visual de los botones a la letra</v>
      </c>
    </row>
    <row r="21" customFormat="false" ht="15.75" hidden="false" customHeight="false" outlineLevel="0" collapsed="false">
      <c r="B21" s="1" t="str">
        <f aca="false">IF(A21=1,"✅", "❌")&amp;"Responsive"</f>
        <v>❌Responsive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B24" s="1" t="str">
        <f aca="false">IF(A24=1,"✅", "❌") &amp;"Es consistente con la nomenclatura (camelCase o snake_case)"</f>
        <v>❌Es consistente con la nomenclatura (camelCase o snake_case)</v>
      </c>
    </row>
    <row r="25" customFormat="false" ht="15.75" hidden="false" customHeight="false" outlineLevel="0" collapsed="false">
      <c r="B25" s="1" t="str">
        <f aca="false">IF(A25=1,"✅", "❌")&amp;"Los comentarios son adecuados (dicen cosas útiles)."</f>
        <v>❌Los comentarios son adecuados (dicen cosas útiles).</v>
      </c>
    </row>
    <row r="26" customFormat="false" ht="15.75" hidden="false" customHeight="false" outlineLevel="0" collapsed="false">
      <c r="B26" s="1" t="str">
        <f aca="false">IF(A26=1,"✅", "❌")&amp;"No hay comentarios excesivos."</f>
        <v>❌No hay comentarios excesivos.</v>
      </c>
    </row>
    <row r="27" customFormat="false" ht="15.75" hidden="false" customHeight="false" outlineLevel="0" collapsed="false">
      <c r="B27" s="1" t="str">
        <f aca="false">IF(A27=1,"✅", "❌")&amp;"Escribe de acuerdo a las convenciones de la tecnología."</f>
        <v>❌Escribe de acuerdo a las convenciones de la tecnología.</v>
      </c>
    </row>
    <row r="28" customFormat="false" ht="15.75" hidden="false" customHeight="false" outlineLevel="0" collapsed="false">
      <c r="B28" s="1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false" outlineLevel="0" collapsed="false">
      <c r="B29" s="1" t="str">
        <f aca="false">IF(A29=1,"✅", "❌❗")&amp;"No hay código duplicado."</f>
        <v>❌❗No hay código duplicado.</v>
      </c>
    </row>
    <row r="30" customFormat="false" ht="15.75" hidden="false" customHeight="false" outlineLevel="0" collapsed="false">
      <c r="B30" s="1" t="str">
        <f aca="false">IF(A30=1,"✅", "❌")&amp;"No tiene código mal indentado."</f>
        <v>❌No tiene código mal indentado.</v>
      </c>
    </row>
    <row r="31" customFormat="false" ht="15.75" hidden="false" customHeight="false" outlineLevel="0" collapsed="false">
      <c r="B31" s="1" t="str">
        <f aca="false">IF(A31=1,"✅", "❌")&amp;"No tiene formato irregular (espacios o enters donde no debería)."</f>
        <v>❌No tiene formato irregular (espacios o enters donde no debería).</v>
      </c>
    </row>
    <row r="32" customFormat="false" ht="15.75" hidden="false" customHeight="false" outlineLevel="0" collapsed="false">
      <c r="B32" s="1" t="str">
        <f aca="false">IF(A32=1,"✅😀", "❌")&amp;"Tiene error handling."</f>
        <v>❌Tiene error handling.</v>
      </c>
    </row>
    <row r="34" customFormat="false" ht="15.75" hidden="false" customHeight="false" outlineLevel="0" collapsed="false">
      <c r="B34" s="1" t="s">
        <v>20</v>
      </c>
    </row>
    <row r="35" customFormat="false" ht="15.75" hidden="false" customHeight="false" outlineLevel="0" collapsed="false">
      <c r="B35" s="1" t="str">
        <f aca="false">IF(A35=1,"✅", "❌")&amp;"Crea componentes genéricos para el boton"</f>
        <v>❌Crea componentes genéricos para el boton</v>
      </c>
    </row>
    <row r="36" customFormat="false" ht="15.75" hidden="false" customHeight="false" outlineLevel="0" collapsed="false">
      <c r="B36" s="1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false" outlineLevel="0" collapsed="false">
      <c r="B37" s="1" t="str">
        <f aca="false">IF(A37=1,"✅", "❌")&amp;"Usa destructuring de las props"</f>
        <v>❌Usa destructuring de las props</v>
      </c>
    </row>
    <row r="38" customFormat="false" ht="15.75" hidden="false" customHeight="false" outlineLevel="0" collapsed="false"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B39" s="1" t="str">
        <f aca="false">IF(A39=1,"✅", "❌")&amp;"Genera otra carpeta para los componentes genéricos"</f>
        <v>❌Genera otra carpeta para los componentes genéricos</v>
      </c>
    </row>
    <row r="40" customFormat="false" ht="15.75" hidden="false" customHeight="false" outlineLevel="0" collapsed="false">
      <c r="B40" s="1" t="str">
        <f aca="false">IF(A40=1,"✅", "❌")&amp;"El css está desacoplado"</f>
        <v>❌El css está desacoplado</v>
      </c>
    </row>
    <row r="41" customFormat="false" ht="15.75" hidden="false" customHeight="false" outlineLevel="0" collapsed="false"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B42" s="1" t="str">
        <f aca="false">IF(A42=1,"✅", "❌❗")&amp;"Usa solo componentes funcionales o no funcionales (no los mezcla)"</f>
        <v>❌❗Usa solo componentes funcionales o no funcionales (no los mezcla)</v>
      </c>
    </row>
    <row r="43" customFormat="false" ht="15.75" hidden="false" customHeight="false" outlineLevel="0" collapsed="false"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B44" s="1" t="str">
        <f aca="false">IF(A44=1,"✅😀", "❌")&amp;"Arquitectura clara (CSS puesto junto al componente)"</f>
        <v>❌Arquitectura clara (CSS puesto junto al componente)</v>
      </c>
    </row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B47" s="1" t="str">
        <f aca="false">IF(A47=1,"✅", "❌❗")&amp;"Parte A correcta"</f>
        <v>❌❗Parte A correcta</v>
      </c>
    </row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3</v>
      </c>
      <c r="B51" s="2" t="e">
        <f aca="false">switch(A51, 0, "No suficiente", 1, "Trainee", 2, "Junior", 3, "SemiSr")</f>
        <v>#NAME?</v>
      </c>
    </row>
    <row r="53" customFormat="false" ht="15.75" hidden="false" customHeight="false" outlineLevel="0" collapsed="false">
      <c r="B53" s="1" t="s">
        <v>7</v>
      </c>
    </row>
    <row r="56" customFormat="false" ht="15.75" hidden="false" customHeight="false" outlineLevel="0" collapsed="false">
      <c r="B56" s="1" t="s">
        <v>12</v>
      </c>
    </row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3"/>
    </row>
    <row r="59" customFormat="false" ht="15.75" hidden="false" customHeight="false" outlineLevel="0" collapsed="false">
      <c r="B59" s="3"/>
    </row>
    <row r="60" customFormat="false" ht="15.75" hidden="false" customHeight="false" outlineLevel="0" collapsed="false">
      <c r="B60" s="3"/>
    </row>
    <row r="63" customFormat="false" ht="15.75" hidden="false" customHeight="false" outlineLevel="0" collapsed="false">
      <c r="B63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0</v>
      </c>
      <c r="B3" s="1" t="str">
        <f aca="false">IF(A3=1,"✅", "❌") &amp; "Explica cómo correr el código."</f>
        <v>❌Explica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0</v>
      </c>
      <c r="B22" s="1" t="str">
        <f aca="false">IF(A22=1,"✅", "❌❗")&amp;"No hay código duplicado."</f>
        <v>❌❗No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0</v>
      </c>
      <c r="B25" s="1" t="str">
        <f aca="false">IF(A25=1,"✅😀", "❌")&amp;"Tiene error handling."</f>
        <v>❌Tiene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2</v>
      </c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21</v>
      </c>
    </row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22</v>
      </c>
    </row>
    <row r="41" customFormat="false" ht="15.75" hidden="false" customHeight="false" outlineLevel="0" collapsed="false">
      <c r="B41" s="3" t="s">
        <v>23</v>
      </c>
    </row>
    <row r="42" customFormat="false" ht="15.75" hidden="false" customHeight="false" outlineLevel="0" collapsed="false">
      <c r="B42" s="4" t="s">
        <v>24</v>
      </c>
    </row>
    <row r="43" customFormat="false" ht="15.75" hidden="false" customHeight="false" outlineLevel="0" collapsed="false">
      <c r="B43" s="3" t="s">
        <v>25</v>
      </c>
    </row>
    <row r="44" customFormat="false" ht="15.75" hidden="false" customHeight="false" outlineLevel="0" collapsed="false">
      <c r="B44" s="3" t="s">
        <v>26</v>
      </c>
    </row>
    <row r="45" customFormat="false" ht="15.75" hidden="false" customHeight="false" outlineLevel="0" collapsed="false">
      <c r="B45" s="4" t="s">
        <v>27</v>
      </c>
    </row>
    <row r="46" customFormat="false" ht="15.75" hidden="false" customHeight="false" outlineLevel="0" collapsed="false">
      <c r="B46" s="1" t="s">
        <v>28</v>
      </c>
    </row>
    <row r="48" customFormat="false" ht="15.75" hidden="false" customHeight="false" outlineLevel="0" collapsed="false">
      <c r="B48" s="1" t="s">
        <v>17</v>
      </c>
    </row>
    <row r="49" customFormat="false" ht="15.75" hidden="false" customHeight="false" outlineLevel="0" collapsed="false">
      <c r="B49" s="1" t="s">
        <v>29</v>
      </c>
    </row>
    <row r="50" customFormat="false" ht="15.75" hidden="false" customHeight="false" outlineLevel="0" collapsed="false">
      <c r="B50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0</v>
      </c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0</v>
      </c>
      <c r="B21" s="1" t="str">
        <f aca="false">IF(A21=1,"✅", "❌")&amp;"No repite el código de la parte A."</f>
        <v>❌No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1</v>
      </c>
      <c r="B25" s="1" t="str">
        <f aca="false">IF(A25=1,"✅😀", "❌")&amp;"Tiene error handling."</f>
        <v>✅😀Tiene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3</v>
      </c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31</v>
      </c>
    </row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32</v>
      </c>
    </row>
    <row r="41" customFormat="false" ht="15.75" hidden="false" customHeight="false" outlineLevel="0" collapsed="false">
      <c r="B41" s="3" t="s">
        <v>33</v>
      </c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6" customFormat="false" ht="15.75" hidden="false" customHeight="false" outlineLevel="0" collapsed="false">
      <c r="B46" s="1" t="s">
        <v>17</v>
      </c>
    </row>
    <row r="47" customFormat="false" ht="15.75" hidden="false" customHeight="false" outlineLevel="0" collapsed="false">
      <c r="B4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1" t="n">
        <v>0</v>
      </c>
      <c r="B11" s="1" t="str">
        <f aca="false">IF(A11=1,"✅", "❌❗") &amp; "No hardcodea la cantidad de archivos (20)"</f>
        <v>❌❗No hardcodea la cantidad de archivos (20)</v>
      </c>
    </row>
    <row r="12" customFormat="false" ht="15.75" hidden="false" customHeight="false" outlineLevel="0" collapsed="false">
      <c r="A12" s="1" t="n">
        <v>0</v>
      </c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0</v>
      </c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A18" s="1" t="n">
        <v>0</v>
      </c>
      <c r="B18" s="1" t="str">
        <f aca="false">IF(A18=1,"✅", "❌")&amp;"No hay comentarios excesivos."</f>
        <v>❌No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0</v>
      </c>
      <c r="B25" s="1" t="str">
        <f aca="false">IF(A25=1,"✅😀", "❌")&amp;"Tiene error handling."</f>
        <v>❌Tiene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false" outlineLevel="0" collapsed="false">
      <c r="A31" s="1" t="n">
        <v>0</v>
      </c>
      <c r="B31" s="1" t="str">
        <f aca="false">IF(A31=1,"✅😀", "❌")&amp;"Asegura el set mínimo (ej: backtracking, generar todo, etc)."</f>
        <v>❌Asegura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0</v>
      </c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35</v>
      </c>
    </row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36</v>
      </c>
    </row>
    <row r="41" customFormat="false" ht="15.75" hidden="false" customHeight="false" outlineLevel="0" collapsed="false">
      <c r="B41" s="3"/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6" customFormat="false" ht="15.75" hidden="false" customHeight="false" outlineLevel="0" collapsed="false">
      <c r="B46" s="1" t="s">
        <v>17</v>
      </c>
    </row>
    <row r="47" customFormat="false" ht="15.75" hidden="false" customHeight="false" outlineLevel="0" collapsed="false">
      <c r="B47" s="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1</v>
      </c>
      <c r="B4" s="1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0</v>
      </c>
      <c r="B16" s="1" t="str">
        <f aca="false">IF(A16=1,"✅", "❌") &amp;"Es consistente con la nomenclatura (camelCase o snake_case)"</f>
        <v>❌Es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0</v>
      </c>
      <c r="B20" s="1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1</v>
      </c>
      <c r="B25" s="1" t="str">
        <f aca="false">IF(A25=1,"✅😀", "❌")&amp;"Tiene error handling."</f>
        <v>✅😀Tiene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false" outlineLevel="0" collapsed="false">
      <c r="A31" s="1" t="n">
        <v>0</v>
      </c>
      <c r="B31" s="1" t="str">
        <f aca="false">IF(A31=1,"✅😀", "❌")&amp;"Asegura el set mínimo (ej: backtracking, generar todo, etc)."</f>
        <v>❌Asegura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1</v>
      </c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38</v>
      </c>
    </row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39</v>
      </c>
    </row>
    <row r="41" customFormat="false" ht="15.75" hidden="false" customHeight="false" outlineLevel="0" collapsed="false">
      <c r="B41" s="3" t="s">
        <v>40</v>
      </c>
    </row>
    <row r="42" customFormat="false" ht="15.75" hidden="false" customHeight="false" outlineLevel="0" collapsed="false">
      <c r="B42" s="3" t="s">
        <v>41</v>
      </c>
    </row>
    <row r="43" customFormat="false" ht="15.75" hidden="false" customHeight="false" outlineLevel="0" collapsed="false">
      <c r="B43" s="3"/>
    </row>
    <row r="46" customFormat="false" ht="15.75" hidden="false" customHeight="false" outlineLevel="0" collapsed="false">
      <c r="B46" s="1" t="s">
        <v>17</v>
      </c>
    </row>
    <row r="47" customFormat="false" ht="15.75" hidden="false" customHeight="false" outlineLevel="0" collapsed="false">
      <c r="B47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0</v>
      </c>
      <c r="B17" s="1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0</v>
      </c>
      <c r="B25" s="1" t="str">
        <f aca="false">IF(A25=1,"✅😀", "❌")&amp;"Tiene error handling."</f>
        <v>❌Tiene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1</v>
      </c>
      <c r="B31" s="1" t="str">
        <f aca="false">IF(A31=1,"✅😀", "❌")&amp;"Asegura el set mínimo (ej: backtracking, generar todo, etc)."</f>
        <v>✅😀Asegura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2</v>
      </c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43</v>
      </c>
    </row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44</v>
      </c>
    </row>
    <row r="41" customFormat="false" ht="15.75" hidden="false" customHeight="false" outlineLevel="0" collapsed="false">
      <c r="B41" s="3" t="s">
        <v>45</v>
      </c>
    </row>
    <row r="42" customFormat="false" ht="15.75" hidden="false" customHeight="false" outlineLevel="0" collapsed="false">
      <c r="B42" s="3" t="s">
        <v>46</v>
      </c>
    </row>
    <row r="43" customFormat="false" ht="15.75" hidden="false" customHeight="false" outlineLevel="0" collapsed="false">
      <c r="B43" s="3"/>
    </row>
    <row r="46" customFormat="false" ht="15.75" hidden="false" customHeight="false" outlineLevel="0" collapsed="false">
      <c r="B46" s="1" t="s">
        <v>17</v>
      </c>
    </row>
    <row r="47" customFormat="false" ht="15.75" hidden="false" customHeight="false" outlineLevel="0" collapsed="false">
      <c r="B47" s="1" t="s">
        <v>47</v>
      </c>
    </row>
    <row r="48" customFormat="false" ht="15.75" hidden="false" customHeight="false" outlineLevel="0" collapsed="false">
      <c r="B48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1</v>
      </c>
      <c r="B9" s="1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A13" s="1" t="n">
        <v>0</v>
      </c>
      <c r="B13" s="1" t="str">
        <f aca="false">IF(A13=1,"✅😀", "❌")&amp;"Imprime la salida como en la letra."</f>
        <v>❌Imprime la salida como en la letra.</v>
      </c>
    </row>
    <row r="15" customFormat="false" ht="15.75" hidden="false" customHeight="false" outlineLevel="0" collapsed="false">
      <c r="B15" s="1" t="s">
        <v>3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false" outlineLevel="0" collapsed="false">
      <c r="A18" s="1" t="n">
        <v>1</v>
      </c>
      <c r="B18" s="1" t="str">
        <f aca="false">IF(A18=1,"✅", "❌")&amp;"No hay comentarios excesivos."</f>
        <v>✅No hay comentarios excesivos.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false" outlineLevel="0" collapsed="false">
      <c r="A20" s="1" t="n">
        <v>0</v>
      </c>
      <c r="B20" s="1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"❌")&amp;"No repite el código de la parte A."</f>
        <v>✅No repite el código de la parte A.</v>
      </c>
    </row>
    <row r="22" customFormat="false" ht="15.75" hidden="false" customHeight="false" outlineLevel="0" collapsed="false">
      <c r="A22" s="1" t="n">
        <v>1</v>
      </c>
      <c r="B22" s="1" t="str">
        <f aca="false">IF(A22=1,"✅", "❌❗")&amp;"No hay código duplicado."</f>
        <v>✅No hay código duplicado.</v>
      </c>
    </row>
    <row r="23" customFormat="false" ht="15.75" hidden="false" customHeight="false" outlineLevel="0" collapsed="false">
      <c r="A23" s="1" t="n">
        <v>1</v>
      </c>
      <c r="B23" s="1" t="str">
        <f aca="false">IF(A23=1,"✅", "❌")&amp;"No tiene código mal indentado."</f>
        <v>✅No tiene código mal indentado.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false" outlineLevel="0" collapsed="false">
      <c r="A25" s="1" t="n">
        <v>1</v>
      </c>
      <c r="B25" s="1" t="str">
        <f aca="false">IF(A25=1,"✅😀", "❌")&amp;"Tiene error handling."</f>
        <v>✅😀Tiene error handling.</v>
      </c>
    </row>
    <row r="27" customFormat="false" ht="15.75" hidden="false" customHeight="false" outlineLevel="0" collapsed="false">
      <c r="B27" s="1" t="s">
        <v>4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"❌❗")&amp;"Parte A correcta"</f>
        <v>✅Parte A correcta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false" outlineLevel="0" collapsed="false">
      <c r="A31" s="1" t="n">
        <v>0</v>
      </c>
      <c r="B31" s="1" t="str">
        <f aca="false">IF(A31=1,"✅😀", "❌")&amp;"Asegura el set mínimo (ej: backtracking, generar todo, etc)."</f>
        <v>❌Asegura el set mínimo (ej: backtracking, generar todo, etc).</v>
      </c>
    </row>
    <row r="33" customFormat="false" ht="15.75" hidden="false" customHeight="false" outlineLevel="0" collapsed="false">
      <c r="A33" s="1" t="s">
        <v>5</v>
      </c>
      <c r="B33" s="1" t="s">
        <v>6</v>
      </c>
    </row>
    <row r="34" customFormat="false" ht="15.75" hidden="false" customHeight="false" outlineLevel="0" collapsed="false">
      <c r="A34" s="1" t="n">
        <v>1</v>
      </c>
      <c r="B34" s="2" t="e">
        <f aca="false">switch(A34, 0, "No suficiente", 1, "Trainee", 2, "Junior", 3, "SemiSr")</f>
        <v>#NAME?</v>
      </c>
    </row>
    <row r="36" customFormat="false" ht="15.75" hidden="false" customHeight="false" outlineLevel="0" collapsed="false">
      <c r="B36" s="1" t="s">
        <v>7</v>
      </c>
    </row>
    <row r="37" customFormat="false" ht="15.75" hidden="false" customHeight="false" outlineLevel="0" collapsed="false">
      <c r="B37" s="1" t="s">
        <v>49</v>
      </c>
    </row>
    <row r="39" customFormat="false" ht="15.75" hidden="false" customHeight="false" outlineLevel="0" collapsed="false">
      <c r="B39" s="1" t="s">
        <v>12</v>
      </c>
    </row>
    <row r="40" customFormat="false" ht="15.75" hidden="false" customHeight="false" outlineLevel="0" collapsed="false">
      <c r="B40" s="3" t="s">
        <v>50</v>
      </c>
    </row>
    <row r="41" customFormat="false" ht="15.75" hidden="false" customHeight="false" outlineLevel="0" collapsed="false">
      <c r="B41" s="3" t="s">
        <v>51</v>
      </c>
    </row>
    <row r="42" customFormat="false" ht="15.75" hidden="false" customHeight="false" outlineLevel="0" collapsed="false">
      <c r="B42" s="3"/>
    </row>
    <row r="43" customFormat="false" ht="15.75" hidden="false" customHeight="false" outlineLevel="0" collapsed="false">
      <c r="B43" s="3"/>
    </row>
    <row r="46" customFormat="false" ht="15.75" hidden="false" customHeight="false" outlineLevel="0" collapsed="false">
      <c r="B46" s="1" t="s">
        <v>17</v>
      </c>
    </row>
    <row r="47" customFormat="false" ht="15.75" hidden="false" customHeight="false" outlineLevel="0" collapsed="false">
      <c r="B47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1</v>
      </c>
      <c r="B8" s="1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19</v>
      </c>
    </row>
    <row r="15" customFormat="false" ht="15.75" hidden="false" customHeight="false" outlineLevel="0" collapsed="false">
      <c r="A15" s="1" t="n">
        <v>1</v>
      </c>
      <c r="B15" s="1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false" outlineLevel="0" collapsed="false">
      <c r="A16" s="1" t="n">
        <v>1</v>
      </c>
      <c r="B16" s="1" t="str">
        <f aca="false">IF(A16=1,"✅", "❌")&amp;"Los headers dicen lo que pide la letra"</f>
        <v>✅Los headers dicen lo que pide la letra</v>
      </c>
    </row>
    <row r="17" customFormat="false" ht="15.75" hidden="false" customHeight="false" outlineLevel="0" collapsed="false">
      <c r="A17" s="1" t="n">
        <v>1</v>
      </c>
      <c r="B17" s="1" t="str">
        <f aca="false">IF(A17=1,"✅", "❌")&amp;"Los botones dicen lo que pide la letra"</f>
        <v>✅Los botones dicen lo que pide la letra</v>
      </c>
    </row>
    <row r="18" customFormat="false" ht="15.75" hidden="false" customHeight="false" outlineLevel="0" collapsed="false">
      <c r="A18" s="1" t="n">
        <v>0</v>
      </c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A19" s="1" t="n">
        <v>1</v>
      </c>
      <c r="B19" s="1" t="str">
        <f aca="false">IF(A19=1,"✅", "❌")&amp;"Similitud visual del modulo a la letra"</f>
        <v>✅Similitud visual del modulo a la letra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"❌")&amp;"Similitud visual de los botones a la letra"</f>
        <v>✅Similitud visual de los botones a la letra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"❌")&amp;"Responsive"</f>
        <v>✅Responsive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 &amp;"Es consistente con la nomenclatura (camelCase o snake_case)"</f>
        <v>✅Es consistente con la nomenclatura (camelCase o snake_case)</v>
      </c>
    </row>
    <row r="25" customFormat="false" ht="15.75" hidden="false" customHeight="false" outlineLevel="0" collapsed="false">
      <c r="A25" s="1" t="n">
        <v>1</v>
      </c>
      <c r="B25" s="1" t="str">
        <f aca="false">IF(A25=1,"✅", "❌")&amp;"Los comentarios son adecuados (dicen cosas útiles)."</f>
        <v>✅Los comentarios son adecuados (dicen cosas útiles).</v>
      </c>
    </row>
    <row r="26" customFormat="false" ht="15.75" hidden="false" customHeight="false" outlineLevel="0" collapsed="false">
      <c r="A26" s="1" t="n">
        <v>1</v>
      </c>
      <c r="B26" s="1" t="str">
        <f aca="false">IF(A26=1,"✅", "❌")&amp;"No hay comentarios excesivos."</f>
        <v>✅No hay comentarios excesivos.</v>
      </c>
    </row>
    <row r="27" customFormat="false" ht="15.75" hidden="false" customHeight="false" outlineLevel="0" collapsed="false">
      <c r="A27" s="1" t="n">
        <v>1</v>
      </c>
      <c r="B27" s="1" t="str">
        <f aca="false">IF(A27=1,"✅", "❌")&amp;"Escribe de acuerdo a las convenciones de la tecnología."</f>
        <v>✅Escribe de acuerdo a las convenciones de la tecnología.</v>
      </c>
    </row>
    <row r="28" customFormat="false" ht="15.75" hidden="false" customHeight="false" outlineLevel="0" collapsed="false">
      <c r="A28" s="1" t="n">
        <v>1</v>
      </c>
      <c r="B28" s="1" t="str">
        <f aca="false">IF(A28=1,"✅", "❌")&amp;"Divide el problema en funciones chicas y concretas."</f>
        <v>✅Divide el problema en funciones chicas y concretas.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"❌❗")&amp;"No hay código duplicado."</f>
        <v>✅No hay código duplicado.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"❌")&amp;"No tiene código mal indentado."</f>
        <v>❌No tiene código mal indentado.</v>
      </c>
    </row>
    <row r="31" customFormat="false" ht="15.75" hidden="false" customHeight="false" outlineLevel="0" collapsed="false">
      <c r="A31" s="1" t="n">
        <v>1</v>
      </c>
      <c r="B31" s="1" t="str">
        <f aca="false">IF(A31=1,"✅", "❌")&amp;"No tiene formato irregular (espacios o enters donde no debería)."</f>
        <v>✅No tiene formato irregular (espacios o enters donde no debería).</v>
      </c>
    </row>
    <row r="32" customFormat="false" ht="15.75" hidden="false" customHeight="false" outlineLevel="0" collapsed="false">
      <c r="A32" s="1" t="n">
        <v>0</v>
      </c>
      <c r="B32" s="1" t="str">
        <f aca="false">IF(A32=1,"✅😀", "❌")&amp;"Tiene error handling."</f>
        <v>❌Tiene error handling.</v>
      </c>
    </row>
    <row r="34" customFormat="false" ht="15.75" hidden="false" customHeight="false" outlineLevel="0" collapsed="false">
      <c r="B34" s="1" t="s">
        <v>20</v>
      </c>
    </row>
    <row r="35" customFormat="false" ht="15.75" hidden="false" customHeight="false" outlineLevel="0" collapsed="false">
      <c r="A35" s="1" t="n">
        <v>0</v>
      </c>
      <c r="B35" s="1" t="str">
        <f aca="false">IF(A35=1,"✅", "❌")&amp;"Crea componentes genéricos para el boton"</f>
        <v>❌Crea componentes genéricos para el boton</v>
      </c>
    </row>
    <row r="36" customFormat="false" ht="15.75" hidden="false" customHeight="false" outlineLevel="0" collapsed="false">
      <c r="A36" s="1" t="n">
        <v>1</v>
      </c>
      <c r="B36" s="1" t="str">
        <f aca="false">IF(A36=1,"✅😀", "❌")&amp;"Crea componentes genéricos para el Contenedor (header + content)"</f>
        <v>✅😀Crea componentes genéricos para el Contenedor (header + content)</v>
      </c>
    </row>
    <row r="37" customFormat="false" ht="15.75" hidden="false" customHeight="false" outlineLevel="0" collapsed="false">
      <c r="A37" s="1" t="n">
        <v>0</v>
      </c>
      <c r="B37" s="1" t="str">
        <f aca="false">IF(A37=1,"✅", "❌")&amp;"Usa destructuring de las props"</f>
        <v>❌Usa destructuring de las props</v>
      </c>
    </row>
    <row r="38" customFormat="false" ht="15.75" hidden="false" customHeight="false" outlineLevel="0" collapsed="false">
      <c r="A38" s="1" t="n">
        <v>0</v>
      </c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A39" s="1" t="n">
        <v>1</v>
      </c>
      <c r="B39" s="1" t="str">
        <f aca="false">IF(A39=1,"✅", "❌")&amp;"Genera otra carpeta para los componentes genéricos"</f>
        <v>✅Genera otra carpeta para los componentes genéricos</v>
      </c>
    </row>
    <row r="40" customFormat="false" ht="15.75" hidden="false" customHeight="false" outlineLevel="0" collapsed="false">
      <c r="A40" s="1" t="n">
        <v>1</v>
      </c>
      <c r="B40" s="1" t="str">
        <f aca="false">IF(A40=1,"✅", "❌")&amp;"El css está desacoplado"</f>
        <v>✅El css está desacoplado</v>
      </c>
    </row>
    <row r="41" customFormat="false" ht="15.75" hidden="false" customHeight="false" outlineLevel="0" collapsed="false">
      <c r="A41" s="1" t="n">
        <v>0</v>
      </c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A42" s="1" t="n">
        <v>1</v>
      </c>
      <c r="B42" s="1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false" outlineLevel="0" collapsed="false">
      <c r="A43" s="1" t="n">
        <v>0</v>
      </c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A44" s="1" t="n">
        <v>0</v>
      </c>
      <c r="B44" s="1" t="str">
        <f aca="false">IF(A44=1,"✅😀", "❌")&amp;"Arquitectura clara (CSS puesto junto al componente)"</f>
        <v>❌Arquitectura clara (CSS puesto junto al componente)</v>
      </c>
    </row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A47" s="1" t="n">
        <v>1</v>
      </c>
      <c r="B47" s="1" t="str">
        <f aca="false">IF(A47=1,"✅", "❌❗")&amp;"Parte A correcta"</f>
        <v>✅Parte A correcta</v>
      </c>
    </row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2</v>
      </c>
      <c r="B51" s="2" t="e">
        <f aca="false">switch(A51, 0, "No suficiente", 1, "Trainee", 2, "Junior", 3, "SemiSr")</f>
        <v>#NAME?</v>
      </c>
    </row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>
      <c r="B54" s="1" t="s">
        <v>53</v>
      </c>
    </row>
    <row r="55" customFormat="false" ht="15.75" hidden="false" customHeight="false" outlineLevel="0" collapsed="false">
      <c r="B55" s="1" t="s">
        <v>54</v>
      </c>
    </row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1" t="s">
        <v>12</v>
      </c>
    </row>
    <row r="59" customFormat="false" ht="15.75" hidden="false" customHeight="false" outlineLevel="0" collapsed="false">
      <c r="B59" s="3" t="s">
        <v>55</v>
      </c>
    </row>
    <row r="60" customFormat="false" ht="15.75" hidden="false" customHeight="false" outlineLevel="0" collapsed="false">
      <c r="B60" s="3"/>
    </row>
    <row r="63" customFormat="false" ht="15.75" hidden="false" customHeight="false" outlineLevel="0" collapsed="false">
      <c r="B63" s="1" t="s">
        <v>17</v>
      </c>
    </row>
    <row r="64" customFormat="false" ht="15.75" hidden="false" customHeight="false" outlineLevel="0" collapsed="false">
      <c r="B64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1</v>
      </c>
      <c r="B3" s="1" t="str">
        <f aca="false">IF(A3=1,"✅", "❌") &amp; "Explica cómo correr el código."</f>
        <v>✅Explica cómo correr el código.</v>
      </c>
    </row>
    <row r="4" customFormat="false" ht="15.75" hidden="false" customHeight="false" outlineLevel="0" collapsed="false"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1</v>
      </c>
      <c r="B5" s="1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1</v>
      </c>
      <c r="B10" s="1" t="str">
        <f aca="false">IF(A10=1,"✅", "❌") &amp; "No hardcodea el nombre de archivos (u*.json)"</f>
        <v>✅No hardcodea el nombre de archivos (u*.json)</v>
      </c>
    </row>
    <row r="11" customFormat="false" ht="15.75" hidden="false" customHeight="false" outlineLevel="0" collapsed="false">
      <c r="A11" s="1" t="n">
        <v>1</v>
      </c>
      <c r="B11" s="1" t="str">
        <f aca="false">IF(A11=1,"✅", "❌❗") &amp; "No hardcodea la cantidad de archivos (20)"</f>
        <v>✅No hardcodea la cantidad de archivos (20)</v>
      </c>
    </row>
    <row r="12" customFormat="false" ht="15.75" hidden="false" customHeight="false" outlineLevel="0" collapsed="false">
      <c r="A12" s="1" t="n">
        <v>1</v>
      </c>
      <c r="B12" s="1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19</v>
      </c>
    </row>
    <row r="15" customFormat="false" ht="15.75" hidden="false" customHeight="false" outlineLevel="0" collapsed="false">
      <c r="A15" s="1" t="n">
        <v>1</v>
      </c>
      <c r="B15" s="1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false" outlineLevel="0" collapsed="false">
      <c r="B16" s="1" t="str">
        <f aca="false">IF(A16=1,"✅", "❌")&amp;"Los headers dicen lo que pide la letra"</f>
        <v>❌Los headers dicen lo que pide la letra</v>
      </c>
    </row>
    <row r="17" customFormat="false" ht="15.75" hidden="false" customHeight="false" outlineLevel="0" collapsed="false">
      <c r="B17" s="1" t="str">
        <f aca="false">IF(A17=1,"✅", "❌")&amp;"Los botones dicen lo que pide la letra"</f>
        <v>❌Los botones dicen lo que pide la letra</v>
      </c>
    </row>
    <row r="18" customFormat="false" ht="15.75" hidden="false" customHeight="false" outlineLevel="0" collapsed="false"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B19" s="1" t="str">
        <f aca="false">IF(A19=1,"✅", "❌")&amp;"Similitud visual del modulo a la letra"</f>
        <v>❌Similitud visual del modulo a la letra</v>
      </c>
    </row>
    <row r="20" customFormat="false" ht="15.75" hidden="false" customHeight="false" outlineLevel="0" collapsed="false">
      <c r="A20" s="1" t="n">
        <v>1</v>
      </c>
      <c r="B20" s="1" t="str">
        <f aca="false">IF(A20=1,"✅", "❌")&amp;"Similitud visual de los botones a la letra"</f>
        <v>✅Similitud visual de los botones a la letra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"❌")&amp;"Responsive"</f>
        <v>✅Responsive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A24" s="1" t="n">
        <v>1</v>
      </c>
      <c r="B24" s="1" t="str">
        <f aca="false">IF(A24=1,"✅", "❌") &amp;"Es consistente con la nomenclatura (camelCase o snake_case)"</f>
        <v>✅Es consistente con la nomenclatura (camelCase o snake_case)</v>
      </c>
    </row>
    <row r="25" customFormat="false" ht="15.75" hidden="false" customHeight="false" outlineLevel="0" collapsed="false">
      <c r="A25" s="1" t="n">
        <v>1</v>
      </c>
      <c r="B25" s="1" t="str">
        <f aca="false">IF(A25=1,"✅", "❌")&amp;"Los comentarios son adecuados (dicen cosas útiles)."</f>
        <v>✅Los comentarios son adecuados (dicen cosas útiles).</v>
      </c>
    </row>
    <row r="26" customFormat="false" ht="15.75" hidden="false" customHeight="false" outlineLevel="0" collapsed="false">
      <c r="A26" s="1" t="n">
        <v>1</v>
      </c>
      <c r="B26" s="1" t="str">
        <f aca="false">IF(A26=1,"✅", "❌")&amp;"No hay comentarios excesivos."</f>
        <v>✅No hay comentarios excesivos.</v>
      </c>
    </row>
    <row r="27" customFormat="false" ht="15.75" hidden="false" customHeight="false" outlineLevel="0" collapsed="false">
      <c r="A27" s="1" t="n">
        <v>1</v>
      </c>
      <c r="B27" s="1" t="str">
        <f aca="false">IF(A27=1,"✅", "❌")&amp;"Escribe de acuerdo a las convenciones de la tecnología."</f>
        <v>✅Escribe de acuerdo a las convenciones de la tecnología.</v>
      </c>
    </row>
    <row r="28" customFormat="false" ht="15.75" hidden="false" customHeight="false" outlineLevel="0" collapsed="false">
      <c r="B28" s="1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false" outlineLevel="0" collapsed="false">
      <c r="A29" s="1" t="n">
        <v>1</v>
      </c>
      <c r="B29" s="1" t="str">
        <f aca="false">IF(A29=1,"✅", "❌❗")&amp;"No hay código duplicado."</f>
        <v>✅No hay código duplicado.</v>
      </c>
    </row>
    <row r="30" customFormat="false" ht="15.75" hidden="false" customHeight="false" outlineLevel="0" collapsed="false">
      <c r="A30" s="1" t="n">
        <v>1</v>
      </c>
      <c r="B30" s="1" t="str">
        <f aca="false">IF(A30=1,"✅", "❌")&amp;"No tiene código mal indentado."</f>
        <v>✅No tiene código mal indentado.</v>
      </c>
    </row>
    <row r="31" customFormat="false" ht="15.75" hidden="false" customHeight="false" outlineLevel="0" collapsed="false">
      <c r="A31" s="1" t="n">
        <v>1</v>
      </c>
      <c r="B31" s="1" t="str">
        <f aca="false">IF(A31=1,"✅", "❌")&amp;"No tiene formato irregular (espacios o enters donde no debería)."</f>
        <v>✅No tiene formato irregular (espacios o enters donde no debería).</v>
      </c>
    </row>
    <row r="32" customFormat="false" ht="15.75" hidden="false" customHeight="false" outlineLevel="0" collapsed="false">
      <c r="B32" s="1" t="str">
        <f aca="false">IF(A32=1,"✅😀", "❌")&amp;"Tiene error handling."</f>
        <v>❌Tiene error handling.</v>
      </c>
    </row>
    <row r="34" customFormat="false" ht="15.75" hidden="false" customHeight="false" outlineLevel="0" collapsed="false">
      <c r="B34" s="1" t="s">
        <v>20</v>
      </c>
    </row>
    <row r="35" customFormat="false" ht="15.75" hidden="false" customHeight="false" outlineLevel="0" collapsed="false">
      <c r="A35" s="1" t="n">
        <v>1</v>
      </c>
      <c r="B35" s="1" t="str">
        <f aca="false">IF(A35=1,"✅", "❌")&amp;"Crea componentes genéricos para el boton"</f>
        <v>✅Crea componentes genéricos para el boton</v>
      </c>
    </row>
    <row r="36" customFormat="false" ht="15.75" hidden="false" customHeight="false" outlineLevel="0" collapsed="false">
      <c r="B36" s="1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false" outlineLevel="0" collapsed="false">
      <c r="A37" s="1" t="n">
        <v>1</v>
      </c>
      <c r="B37" s="1" t="str">
        <f aca="false">IF(A37=1,"✅", "❌")&amp;"Usa destructuring de las props"</f>
        <v>✅Usa destructuring de las props</v>
      </c>
    </row>
    <row r="38" customFormat="false" ht="15.75" hidden="false" customHeight="false" outlineLevel="0" collapsed="false"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A39" s="1" t="n">
        <v>1</v>
      </c>
      <c r="B39" s="1" t="str">
        <f aca="false">IF(A39=1,"✅", "❌")&amp;"Genera otra carpeta para los componentes genéricos"</f>
        <v>✅Genera otra carpeta para los componentes genéricos</v>
      </c>
    </row>
    <row r="40" customFormat="false" ht="15.75" hidden="false" customHeight="false" outlineLevel="0" collapsed="false">
      <c r="B40" s="1" t="str">
        <f aca="false">IF(A40=1,"✅", "❌")&amp;"El css está desacoplado"</f>
        <v>❌El css está desacoplado</v>
      </c>
    </row>
    <row r="41" customFormat="false" ht="15.75" hidden="false" customHeight="false" outlineLevel="0" collapsed="false"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A42" s="1" t="n">
        <v>1</v>
      </c>
      <c r="B42" s="1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false" outlineLevel="0" collapsed="false"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B44" s="1" t="str">
        <f aca="false">IF(A44=1,"✅😀", "❌")&amp;"Arquitectura clara (CSS puesto junto al componente)"</f>
        <v>❌Arquitectura clara (CSS puesto junto al componente)</v>
      </c>
    </row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A47" s="1" t="n">
        <v>1</v>
      </c>
      <c r="B47" s="1" t="str">
        <f aca="false">IF(A47=1,"✅", "❌❗")&amp;"Parte A correcta"</f>
        <v>✅Parte A correcta</v>
      </c>
    </row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1</v>
      </c>
      <c r="B51" s="2" t="e">
        <f aca="false">switch(A51, 0, "No suficiente", 1, "Trainee", 2, "Junior", 3, "SemiSr")</f>
        <v>#NAME?</v>
      </c>
    </row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>
      <c r="B54" s="1" t="s">
        <v>57</v>
      </c>
    </row>
    <row r="55" customFormat="false" ht="15.75" hidden="false" customHeight="false" outlineLevel="0" collapsed="false">
      <c r="B55" s="1" t="s">
        <v>58</v>
      </c>
    </row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1" t="s">
        <v>12</v>
      </c>
    </row>
    <row r="59" customFormat="false" ht="15.75" hidden="false" customHeight="false" outlineLevel="0" collapsed="false">
      <c r="B59" s="3" t="s">
        <v>59</v>
      </c>
    </row>
    <row r="60" customFormat="false" ht="15.75" hidden="false" customHeight="false" outlineLevel="0" collapsed="false">
      <c r="B60" s="3" t="s">
        <v>60</v>
      </c>
    </row>
    <row r="61" customFormat="false" ht="15.75" hidden="false" customHeight="false" outlineLevel="0" collapsed="false">
      <c r="B61" s="1" t="s">
        <v>61</v>
      </c>
    </row>
    <row r="62" customFormat="false" ht="15.75" hidden="false" customHeight="false" outlineLevel="0" collapsed="false">
      <c r="B62" s="1" t="s">
        <v>62</v>
      </c>
    </row>
    <row r="63" customFormat="false" ht="15.75" hidden="false" customHeight="false" outlineLevel="0" collapsed="false">
      <c r="B63" s="1" t="s">
        <v>63</v>
      </c>
    </row>
    <row r="64" customFormat="false" ht="15.75" hidden="false" customHeight="false" outlineLevel="0" collapsed="false">
      <c r="B64" s="1" t="s">
        <v>64</v>
      </c>
    </row>
    <row r="65" customFormat="false" ht="15.75" hidden="false" customHeight="false" outlineLevel="0" collapsed="false">
      <c r="B65" s="1" t="s">
        <v>65</v>
      </c>
    </row>
    <row r="66" customFormat="false" ht="15.75" hidden="false" customHeight="false" outlineLevel="0" collapsed="false">
      <c r="B66" s="1" t="s">
        <v>66</v>
      </c>
    </row>
    <row r="71" customFormat="false" ht="15.75" hidden="false" customHeight="false" outlineLevel="0" collapsed="false">
      <c r="B71" s="1" t="s">
        <v>17</v>
      </c>
    </row>
    <row r="72" customFormat="false" ht="15.75" hidden="false" customHeight="false" outlineLevel="0" collapsed="false">
      <c r="B72" s="1" t="s">
        <v>67</v>
      </c>
    </row>
    <row r="73" customFormat="false" ht="15.75" hidden="false" customHeight="false" outlineLevel="0" collapsed="false">
      <c r="B73" s="1" t="s">
        <v>68</v>
      </c>
    </row>
    <row r="74" customFormat="false" ht="15.75" hidden="false" customHeight="false" outlineLevel="0" collapsed="false">
      <c r="B74" s="1" t="s">
        <v>69</v>
      </c>
    </row>
    <row r="75" customFormat="false" ht="15.75" hidden="false" customHeight="false" outlineLevel="0" collapsed="false">
      <c r="B75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3.13"/>
  </cols>
  <sheetData>
    <row r="2" customFormat="false" ht="15.75" hidden="false" customHeight="false" outlineLevel="0" collapsed="false">
      <c r="A2" s="1" t="s">
        <v>0</v>
      </c>
      <c r="B2" s="1" t="s">
        <v>1</v>
      </c>
    </row>
    <row r="3" customFormat="false" ht="15.75" hidden="false" customHeight="false" outlineLevel="0" collapsed="false">
      <c r="A3" s="1" t="n">
        <v>0</v>
      </c>
      <c r="B3" s="1" t="str">
        <f aca="false">IF(A3=1,"✅", "❌") &amp; "Explica cómo correr el código."</f>
        <v>❌Explica cómo correr el código.</v>
      </c>
    </row>
    <row r="4" customFormat="false" ht="15.75" hidden="false" customHeight="false" outlineLevel="0" collapsed="false">
      <c r="A4" s="1" t="n">
        <v>0</v>
      </c>
      <c r="B4" s="1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false" outlineLevel="0" collapsed="false">
      <c r="A5" s="1" t="n">
        <v>0</v>
      </c>
      <c r="B5" s="1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7" customFormat="false" ht="15.75" hidden="false" customHeight="false" outlineLevel="0" collapsed="false">
      <c r="B7" s="1" t="s">
        <v>2</v>
      </c>
    </row>
    <row r="8" customFormat="false" ht="15.75" hidden="false" customHeight="false" outlineLevel="0" collapsed="false">
      <c r="A8" s="1" t="n">
        <v>0</v>
      </c>
      <c r="B8" s="1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false" outlineLevel="0" collapsed="false">
      <c r="A9" s="1" t="n">
        <v>0</v>
      </c>
      <c r="B9" s="1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false" outlineLevel="0" collapsed="false">
      <c r="A10" s="1" t="n">
        <v>0</v>
      </c>
      <c r="B10" s="1" t="str">
        <f aca="false">IF(A10=1,"✅", "❌") &amp; "No hardcodea el nombre de archivos (u*.json)"</f>
        <v>❌No hardcodea el nombre de archivos (u*.json)</v>
      </c>
    </row>
    <row r="11" customFormat="false" ht="15.75" hidden="false" customHeight="false" outlineLevel="0" collapsed="false">
      <c r="A11" s="1" t="n">
        <v>0</v>
      </c>
      <c r="B11" s="1" t="str">
        <f aca="false">IF(A11=1,"✅", "❌❗") &amp; "No hardcodea la cantidad de archivos (20)"</f>
        <v>❌❗No hardcodea la cantidad de archivos (20)</v>
      </c>
    </row>
    <row r="12" customFormat="false" ht="15.75" hidden="false" customHeight="false" outlineLevel="0" collapsed="false">
      <c r="A12" s="1" t="n">
        <v>0</v>
      </c>
      <c r="B12" s="1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false" outlineLevel="0" collapsed="false">
      <c r="B13" s="1"/>
    </row>
    <row r="14" customFormat="false" ht="15.75" hidden="false" customHeight="false" outlineLevel="0" collapsed="false">
      <c r="B14" s="1" t="s">
        <v>19</v>
      </c>
    </row>
    <row r="15" customFormat="false" ht="15.75" hidden="false" customHeight="false" outlineLevel="0" collapsed="false">
      <c r="A15" s="1" t="n">
        <v>1</v>
      </c>
      <c r="B15" s="1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false" outlineLevel="0" collapsed="false">
      <c r="A16" s="1" t="n">
        <v>0</v>
      </c>
      <c r="B16" s="1" t="str">
        <f aca="false">IF(A16=1,"✅", "❌")&amp;"Los headers dicen lo que pide la letra"</f>
        <v>❌Los headers dicen lo que pide la letra</v>
      </c>
    </row>
    <row r="17" customFormat="false" ht="15.75" hidden="false" customHeight="false" outlineLevel="0" collapsed="false">
      <c r="A17" s="1" t="n">
        <v>0</v>
      </c>
      <c r="B17" s="1" t="str">
        <f aca="false">IF(A17=1,"✅", "❌")&amp;"Los botones dicen lo que pide la letra"</f>
        <v>❌Los botones dicen lo que pide la letra</v>
      </c>
    </row>
    <row r="18" customFormat="false" ht="15.75" hidden="false" customHeight="false" outlineLevel="0" collapsed="false">
      <c r="A18" s="1" t="n">
        <v>0</v>
      </c>
      <c r="B18" s="1" t="str">
        <f aca="false">IF(A18=1,"✅", "❌")&amp;"Se utiliza el ruteo de react"</f>
        <v>❌Se utiliza el ruteo de react</v>
      </c>
    </row>
    <row r="19" customFormat="false" ht="15.75" hidden="false" customHeight="false" outlineLevel="0" collapsed="false">
      <c r="A19" s="1" t="n">
        <v>0</v>
      </c>
      <c r="B19" s="1" t="str">
        <f aca="false">IF(A19=1,"✅", "❌")&amp;"Similitud visual del modulo a la letra"</f>
        <v>❌Similitud visual del modulo a la letra</v>
      </c>
    </row>
    <row r="20" customFormat="false" ht="15.75" hidden="false" customHeight="false" outlineLevel="0" collapsed="false">
      <c r="A20" s="1" t="n">
        <v>0</v>
      </c>
      <c r="B20" s="1" t="str">
        <f aca="false">IF(A20=1,"✅", "❌")&amp;"Similitud visual de los botones a la letra"</f>
        <v>❌Similitud visual de los botones a la letra</v>
      </c>
    </row>
    <row r="21" customFormat="false" ht="15.75" hidden="false" customHeight="false" outlineLevel="0" collapsed="false">
      <c r="A21" s="1" t="n">
        <v>1</v>
      </c>
      <c r="B21" s="1" t="str">
        <f aca="false">IF(A21=1,"✅", "❌")&amp;"Responsive"</f>
        <v>✅Responsive</v>
      </c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 t="s">
        <v>3</v>
      </c>
    </row>
    <row r="24" customFormat="false" ht="15.75" hidden="false" customHeight="false" outlineLevel="0" collapsed="false">
      <c r="A24" s="1" t="n">
        <v>0</v>
      </c>
      <c r="B24" s="1" t="str">
        <f aca="false">IF(A24=1,"✅", "❌") &amp;"Es consistente con la nomenclatura (camelCase o snake_case)"</f>
        <v>❌Es consistente con la nomenclatura (camelCase o snake_case)</v>
      </c>
    </row>
    <row r="25" customFormat="false" ht="15.75" hidden="false" customHeight="false" outlineLevel="0" collapsed="false">
      <c r="A25" s="1" t="n">
        <v>0</v>
      </c>
      <c r="B25" s="1" t="str">
        <f aca="false">IF(A25=1,"✅", "❌")&amp;"Los comentarios son adecuados (dicen cosas útiles)."</f>
        <v>❌Los comentarios son adecuados (dicen cosas útiles).</v>
      </c>
    </row>
    <row r="26" customFormat="false" ht="15.75" hidden="false" customHeight="false" outlineLevel="0" collapsed="false">
      <c r="A26" s="1" t="n">
        <v>1</v>
      </c>
      <c r="B26" s="1" t="str">
        <f aca="false">IF(A26=1,"✅", "❌")&amp;"No hay comentarios excesivos."</f>
        <v>✅No hay comentarios excesivos.</v>
      </c>
    </row>
    <row r="27" customFormat="false" ht="15.75" hidden="false" customHeight="false" outlineLevel="0" collapsed="false">
      <c r="A27" s="1" t="n">
        <v>0</v>
      </c>
      <c r="B27" s="1" t="str">
        <f aca="false">IF(A27=1,"✅", "❌")&amp;"Escribe de acuerdo a las convenciones de la tecnología."</f>
        <v>❌Escribe de acuerdo a las convenciones de la tecnología.</v>
      </c>
    </row>
    <row r="28" customFormat="false" ht="15.75" hidden="false" customHeight="false" outlineLevel="0" collapsed="false">
      <c r="A28" s="1" t="n">
        <v>0</v>
      </c>
      <c r="B28" s="1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false" outlineLevel="0" collapsed="false">
      <c r="A29" s="1" t="n">
        <v>0</v>
      </c>
      <c r="B29" s="1" t="str">
        <f aca="false">IF(A29=1,"✅", "❌❗")&amp;"No hay código duplicado."</f>
        <v>❌❗No hay código duplicado.</v>
      </c>
    </row>
    <row r="30" customFormat="false" ht="15.75" hidden="false" customHeight="false" outlineLevel="0" collapsed="false">
      <c r="A30" s="1" t="n">
        <v>0</v>
      </c>
      <c r="B30" s="1" t="str">
        <f aca="false">IF(A30=1,"✅", "❌")&amp;"No tiene código mal indentado."</f>
        <v>❌No tiene código mal indentado.</v>
      </c>
    </row>
    <row r="31" customFormat="false" ht="15.75" hidden="false" customHeight="false" outlineLevel="0" collapsed="false">
      <c r="A31" s="1" t="n">
        <v>0</v>
      </c>
      <c r="B31" s="1" t="str">
        <f aca="false">IF(A31=1,"✅", "❌")&amp;"No tiene formato irregular (espacios o enters donde no debería)."</f>
        <v>❌No tiene formato irregular (espacios o enters donde no debería).</v>
      </c>
    </row>
    <row r="32" customFormat="false" ht="15.75" hidden="false" customHeight="false" outlineLevel="0" collapsed="false">
      <c r="A32" s="1" t="n">
        <v>1</v>
      </c>
      <c r="B32" s="1" t="str">
        <f aca="false">IF(A32=1,"✅😀", "❌")&amp;"Tiene error handling."</f>
        <v>✅😀Tiene error handling.</v>
      </c>
    </row>
    <row r="34" customFormat="false" ht="15.75" hidden="false" customHeight="false" outlineLevel="0" collapsed="false">
      <c r="B34" s="1" t="s">
        <v>20</v>
      </c>
    </row>
    <row r="35" customFormat="false" ht="15.75" hidden="false" customHeight="false" outlineLevel="0" collapsed="false">
      <c r="A35" s="1" t="n">
        <v>0</v>
      </c>
      <c r="B35" s="1" t="str">
        <f aca="false">IF(A35=1,"✅", "❌")&amp;"Crea componentes genéricos para el boton"</f>
        <v>❌Crea componentes genéricos para el boton</v>
      </c>
    </row>
    <row r="36" customFormat="false" ht="15.75" hidden="false" customHeight="false" outlineLevel="0" collapsed="false">
      <c r="A36" s="1" t="n">
        <v>0</v>
      </c>
      <c r="B36" s="1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false" outlineLevel="0" collapsed="false">
      <c r="A37" s="1" t="n">
        <v>0</v>
      </c>
      <c r="B37" s="1" t="str">
        <f aca="false">IF(A37=1,"✅", "❌")&amp;"Usa destructuring de las props"</f>
        <v>❌Usa destructuring de las props</v>
      </c>
    </row>
    <row r="38" customFormat="false" ht="15.75" hidden="false" customHeight="false" outlineLevel="0" collapsed="false">
      <c r="A38" s="1" t="n">
        <v>0</v>
      </c>
      <c r="B38" s="1" t="str">
        <f aca="false">IF(A38=1,"✅😀", "❌")&amp;"Utiliza el redux store"</f>
        <v>❌Utiliza el redux store</v>
      </c>
    </row>
    <row r="39" customFormat="false" ht="15.75" hidden="false" customHeight="false" outlineLevel="0" collapsed="false">
      <c r="A39" s="1" t="n">
        <v>0</v>
      </c>
      <c r="B39" s="1" t="str">
        <f aca="false">IF(A39=1,"✅", "❌")&amp;"Genera otra carpeta para los componentes genéricos"</f>
        <v>❌Genera otra carpeta para los componentes genéricos</v>
      </c>
    </row>
    <row r="40" customFormat="false" ht="15.75" hidden="false" customHeight="false" outlineLevel="0" collapsed="false">
      <c r="A40" s="1" t="n">
        <v>0</v>
      </c>
      <c r="B40" s="1" t="str">
        <f aca="false">IF(A40=1,"✅", "❌")&amp;"El css está desacoplado"</f>
        <v>❌El css está desacoplado</v>
      </c>
    </row>
    <row r="41" customFormat="false" ht="15.75" hidden="false" customHeight="false" outlineLevel="0" collapsed="false">
      <c r="A41" s="1" t="n">
        <v>0</v>
      </c>
      <c r="B41" s="1" t="str">
        <f aca="false">IF(A41=1,"✅", "❌")&amp;"Usa scss"</f>
        <v>❌Usa scss</v>
      </c>
    </row>
    <row r="42" customFormat="false" ht="15.75" hidden="false" customHeight="false" outlineLevel="0" collapsed="false">
      <c r="A42" s="1" t="n">
        <v>1</v>
      </c>
      <c r="B42" s="1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false" outlineLevel="0" collapsed="false">
      <c r="A43" s="1" t="n">
        <v>0</v>
      </c>
      <c r="B43" s="1" t="str">
        <f aca="false">IF(A43=1,"✅", "❌")&amp;"Separa las constantes en archivos"</f>
        <v>❌Separa las constantes en archivos</v>
      </c>
    </row>
    <row r="44" customFormat="false" ht="15.75" hidden="false" customHeight="false" outlineLevel="0" collapsed="false">
      <c r="A44" s="1" t="n">
        <v>0</v>
      </c>
      <c r="B44" s="1" t="str">
        <f aca="false">IF(A44=1,"✅😀", "❌")&amp;"Arquitectura clara (CSS puesto junto al componente)"</f>
        <v>❌Arquitectura clara (CSS puesto junto al componente)</v>
      </c>
    </row>
    <row r="46" customFormat="false" ht="15.75" hidden="false" customHeight="false" outlineLevel="0" collapsed="false">
      <c r="B46" s="1" t="s">
        <v>4</v>
      </c>
    </row>
    <row r="47" customFormat="false" ht="15.75" hidden="false" customHeight="false" outlineLevel="0" collapsed="false">
      <c r="A47" s="1" t="n">
        <v>1</v>
      </c>
      <c r="B47" s="1" t="str">
        <f aca="false">IF(A47=1,"✅", "❌❗")&amp;"Parte A correcta"</f>
        <v>✅Parte A correcta</v>
      </c>
    </row>
    <row r="50" customFormat="false" ht="15.75" hidden="false" customHeight="false" outlineLevel="0" collapsed="false">
      <c r="A50" s="1" t="s">
        <v>5</v>
      </c>
      <c r="B50" s="1" t="s">
        <v>6</v>
      </c>
    </row>
    <row r="51" customFormat="false" ht="15.75" hidden="false" customHeight="false" outlineLevel="0" collapsed="false">
      <c r="A51" s="1" t="n">
        <v>0</v>
      </c>
      <c r="B51" s="2" t="e">
        <f aca="false">switch(A51, 0, "No suficiente", 1, "Trainee", 2, "Junior", 3, "SemiSr")</f>
        <v>#NAME?</v>
      </c>
    </row>
    <row r="53" customFormat="false" ht="15.75" hidden="false" customHeight="false" outlineLevel="0" collapsed="false">
      <c r="B53" s="1" t="s">
        <v>7</v>
      </c>
    </row>
    <row r="54" customFormat="false" ht="15.75" hidden="false" customHeight="false" outlineLevel="0" collapsed="false">
      <c r="B54" s="1" t="s">
        <v>71</v>
      </c>
    </row>
    <row r="55" customFormat="false" ht="15.75" hidden="false" customHeight="false" outlineLevel="0" collapsed="false">
      <c r="B55" s="1" t="s">
        <v>72</v>
      </c>
    </row>
    <row r="56" customFormat="false" ht="15.75" hidden="false" customHeight="false" outlineLevel="0" collapsed="false">
      <c r="B56" s="1" t="s">
        <v>73</v>
      </c>
    </row>
    <row r="58" customFormat="false" ht="15.75" hidden="false" customHeight="false" outlineLevel="0" collapsed="false">
      <c r="B58" s="1" t="s">
        <v>12</v>
      </c>
    </row>
    <row r="59" customFormat="false" ht="15.75" hidden="false" customHeight="false" outlineLevel="0" collapsed="false">
      <c r="B59" s="3" t="s">
        <v>74</v>
      </c>
    </row>
    <row r="60" customFormat="false" ht="15.75" hidden="false" customHeight="false" outlineLevel="0" collapsed="false">
      <c r="B60" s="3" t="s">
        <v>75</v>
      </c>
    </row>
    <row r="61" customFormat="false" ht="15.75" hidden="false" customHeight="false" outlineLevel="0" collapsed="false">
      <c r="B61" s="3" t="s">
        <v>76</v>
      </c>
    </row>
    <row r="62" customFormat="false" ht="15.75" hidden="false" customHeight="false" outlineLevel="0" collapsed="false">
      <c r="B62" s="3" t="s">
        <v>77</v>
      </c>
    </row>
    <row r="63" customFormat="false" ht="15.75" hidden="false" customHeight="false" outlineLevel="0" collapsed="false">
      <c r="B63" s="3" t="s">
        <v>78</v>
      </c>
    </row>
    <row r="64" customFormat="false" ht="15.75" hidden="false" customHeight="false" outlineLevel="0" collapsed="false">
      <c r="B64" s="3" t="s">
        <v>79</v>
      </c>
    </row>
    <row r="65" customFormat="false" ht="15.75" hidden="false" customHeight="false" outlineLevel="0" collapsed="false">
      <c r="B65" s="3"/>
    </row>
    <row r="68" customFormat="false" ht="15.75" hidden="false" customHeight="false" outlineLevel="0" collapsed="false">
      <c r="B68" s="1" t="s">
        <v>17</v>
      </c>
    </row>
    <row r="69" customFormat="false" ht="15.75" hidden="false" customHeight="false" outlineLevel="0" collapsed="false">
      <c r="B69" s="1" t="s">
        <v>80</v>
      </c>
    </row>
    <row r="70" customFormat="false" ht="15.75" hidden="false" customHeight="false" outlineLevel="0" collapsed="false">
      <c r="B70" s="1" t="s">
        <v>81</v>
      </c>
    </row>
    <row r="71" customFormat="false" ht="15.75" hidden="false" customHeight="false" outlineLevel="0" collapsed="false">
      <c r="B71" s="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2026-04-15T18:36:13Z</dcterms:created>
  <dc:creator>openpyxl</dc:creator>
  <dc:description/>
  <dc:language>en-US</dc:language>
  <cp:lastModifiedBy/>
  <dcterms:modified xsi:type="dcterms:W3CDTF">2026-04-15T18:36:13Z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