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nual front 3" sheetId="1" r:id="rId5"/>
  </sheets>
  <definedNames/>
  <calcPr/>
</workbook>
</file>

<file path=xl/sharedStrings.xml><?xml version="1.0" encoding="utf-8"?>
<sst xmlns="http://schemas.openxmlformats.org/spreadsheetml/2006/main" count="24" uniqueCount="24">
  <si>
    <t>(0 o 1)</t>
  </si>
  <si>
    <t>📚 Documentación</t>
  </si>
  <si>
    <t>👨🏻‍💻 Usabilidad</t>
  </si>
  <si>
    <t>👨🏻‍💻 Usabilidad Front</t>
  </si>
  <si>
    <t>🍝 Calidad del código</t>
  </si>
  <si>
    <t>🍝 Calidad del código Front</t>
  </si>
  <si>
    <t>🛠️ Eficacia y Eficiencia</t>
  </si>
  <si>
    <t>(0 a 3)</t>
  </si>
  <si>
    <t>🎚️Nivel</t>
  </si>
  <si>
    <t>⭐Aspectos que destacan (positivos o negativos), o impresiones generales</t>
  </si>
  <si>
    <t>Codea hardcodeando todo</t>
  </si>
  <si>
    <t>Escribe tanto en español como en ingles las variables</t>
  </si>
  <si>
    <t>Usa document.getElementById en react</t>
  </si>
  <si>
    <t>📝 Otras notas de corrección</t>
  </si>
  <si>
    <t>No utiliza la parte A en la parte B</t>
  </si>
  <si>
    <t>La pag no se parece (no tienen iconos los botones, los users estan separados por mucho espacio, etc)</t>
  </si>
  <si>
    <t>Hardcodea y duplica mucho codigo</t>
  </si>
  <si>
    <t>La nomenclatura de los componentes no es buena</t>
  </si>
  <si>
    <t>No utiliza destructuring de props</t>
  </si>
  <si>
    <t>No tiene una buena arquitectura de carpetas y componentes</t>
  </si>
  <si>
    <t>🎁 Feedback</t>
  </si>
  <si>
    <t>Estaria bueno que te enfoques en aprender las bases de React, cómo usar los hooks y cuáles son las buenas prácticas.</t>
  </si>
  <si>
    <t>Es importante el aprender a separar los probelmas en funciones para poder asi reutilizar código en lugar de duplicarlo.</t>
  </si>
  <si>
    <t>Hay que tratar de que el coódigo sea siempre extensible, no hardcodear las cosas que utilizamos, sino que esperarnos cualquier dato a futuro.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</si>
</sst>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3.13"/>
  </cols>
  <sheetData>
    <row r="2">
      <c r="A2" s="1" t="s">
        <v>0</v>
      </c>
      <c r="B2" s="1" t="s">
        <v>1</v>
      </c>
    </row>
    <row r="3">
      <c r="A3" s="1">
        <v>0.0</v>
      </c>
      <c r="B3" s="2" t="str">
        <f>IF(A3=1,"✅", "❌") &amp; "Explica cómo correr el código."</f>
        <v>❌Explica cómo correr el código.</v>
      </c>
    </row>
    <row r="4">
      <c r="A4" s="1">
        <v>0.0</v>
      </c>
      <c r="B4" s="2" t="str">
        <f>IF(A4=1,"✅", "❌") &amp; "Documenta la versión de la tecnología en la que programó la prueba."</f>
        <v>❌Documenta la versión de la tecnología en la que programó la prueba.</v>
      </c>
    </row>
    <row r="5">
      <c r="A5" s="1">
        <v>0.0</v>
      </c>
      <c r="B5" s="2" t="str">
        <f>IF(A5=1,"✅", "❌") &amp; "Explica cómo funciona el código, o elecciones que se tomaron, o condiciones particulares"</f>
        <v>❌Explica cómo funciona el código, o elecciones que se tomaron, o condiciones particulares</v>
      </c>
    </row>
    <row r="7">
      <c r="B7" s="1" t="s">
        <v>2</v>
      </c>
    </row>
    <row r="8">
      <c r="A8" s="1">
        <v>0.0</v>
      </c>
      <c r="B8" s="2" t="str">
        <f>IF(A8=1,"✅", "❌") &amp; "El output es consistente (todo por consola o todo por archivos)."</f>
        <v>❌El output es consistente (todo por consola o todo por archivos).</v>
      </c>
    </row>
    <row r="9">
      <c r="A9" s="1">
        <v>0.0</v>
      </c>
      <c r="B9" s="2" t="str">
        <f>IF(A9=1,"✅", "❌") &amp; "Parametriza los archivos en la ejecución (archivo de config, o constante)"</f>
        <v>❌Parametriza los archivos en la ejecución (archivo de config, o constante)</v>
      </c>
    </row>
    <row r="10">
      <c r="A10" s="1">
        <v>0.0</v>
      </c>
      <c r="B10" s="2" t="str">
        <f>IF(A10=1,"✅", "❌") &amp; "No hardcodea el nombre de archivos (u*.json)"</f>
        <v>❌No hardcodea el nombre de archivos (u*.json)</v>
      </c>
    </row>
    <row r="11">
      <c r="A11" s="1">
        <v>0.0</v>
      </c>
      <c r="B11" s="2" t="str">
        <f>IF(A11=1,"✅", "❌❗") &amp; "No hardcodea la cantidad de archivos (20)"</f>
        <v>❌❗No hardcodea la cantidad de archivos (20)</v>
      </c>
    </row>
    <row r="12">
      <c r="A12" s="1">
        <v>0.0</v>
      </c>
      <c r="B12" s="2" t="str">
        <f>IF(A12=1,"✅", "❌❗") &amp; "No hardcodea los providers que espera encontrar (authx.provider_y)"</f>
        <v>❌❗No hardcodea los providers que espera encontrar (authx.provider_y)</v>
      </c>
    </row>
    <row r="13">
      <c r="B13" s="1"/>
    </row>
    <row r="14">
      <c r="B14" s="1" t="s">
        <v>3</v>
      </c>
    </row>
    <row r="15">
      <c r="A15" s="1">
        <v>1.0</v>
      </c>
      <c r="B15" s="2" t="str">
        <f>IF(A15=1,"✅", "❌")&amp;"Queda seleccionado el boton del modulo o submodulo"</f>
        <v>✅Queda seleccionado el boton del modulo o submodulo</v>
      </c>
    </row>
    <row r="16">
      <c r="A16" s="1">
        <v>0.0</v>
      </c>
      <c r="B16" s="2" t="str">
        <f>IF(A16=1,"✅", "❌")&amp;"Los headers dicen lo que pide la letra"</f>
        <v>❌Los headers dicen lo que pide la letra</v>
      </c>
    </row>
    <row r="17">
      <c r="A17" s="1">
        <v>0.0</v>
      </c>
      <c r="B17" s="2" t="str">
        <f>IF(A17=1,"✅", "❌")&amp;"Los botones dicen lo que pide la letra"</f>
        <v>❌Los botones dicen lo que pide la letra</v>
      </c>
    </row>
    <row r="18">
      <c r="A18" s="1">
        <v>0.0</v>
      </c>
      <c r="B18" s="2" t="str">
        <f>IF(A18=1,"✅", "❌")&amp;"Se utiliza el ruteo de react"</f>
        <v>❌Se utiliza el ruteo de react</v>
      </c>
    </row>
    <row r="19">
      <c r="A19" s="1">
        <v>0.0</v>
      </c>
      <c r="B19" s="2" t="str">
        <f>IF(A19=1,"✅", "❌")&amp;"Similitud visual del modulo a la letra"</f>
        <v>❌Similitud visual del modulo a la letra</v>
      </c>
    </row>
    <row r="20">
      <c r="A20" s="1">
        <v>0.0</v>
      </c>
      <c r="B20" s="2" t="str">
        <f>IF(A20=1,"✅", "❌")&amp;"Similitud visual de los botones a la letra"</f>
        <v>❌Similitud visual de los botones a la letra</v>
      </c>
    </row>
    <row r="21">
      <c r="A21" s="1">
        <v>1.0</v>
      </c>
      <c r="B21" s="2" t="str">
        <f>IF(A21=1,"✅", "❌")&amp;"Responsive"</f>
        <v>✅Responsive</v>
      </c>
    </row>
    <row r="22">
      <c r="B22" s="1"/>
    </row>
    <row r="23">
      <c r="B23" s="1" t="s">
        <v>4</v>
      </c>
    </row>
    <row r="24">
      <c r="A24" s="1">
        <v>0.0</v>
      </c>
      <c r="B24" s="2" t="str">
        <f>IF(A24=1,"✅", "❌") &amp;"Es consistente con la nomenclatura (camelCase o snake_case)"</f>
        <v>❌Es consistente con la nomenclatura (camelCase o snake_case)</v>
      </c>
    </row>
    <row r="25">
      <c r="A25" s="1">
        <v>0.0</v>
      </c>
      <c r="B25" s="2" t="str">
        <f>IF(A25=1,"✅", "❌")&amp;"Los comentarios son adecuados (dicen cosas útiles)."</f>
        <v>❌Los comentarios son adecuados (dicen cosas útiles).</v>
      </c>
    </row>
    <row r="26">
      <c r="A26" s="1">
        <v>1.0</v>
      </c>
      <c r="B26" s="2" t="str">
        <f>IF(A26=1,"✅", "❌")&amp;"No hay comentarios excesivos."</f>
        <v>✅No hay comentarios excesivos.</v>
      </c>
    </row>
    <row r="27">
      <c r="A27" s="1">
        <v>0.0</v>
      </c>
      <c r="B27" s="2" t="str">
        <f>IF(A27=1,"✅", "❌")&amp;"Escribe de acuerdo a las convenciones de la tecnología."</f>
        <v>❌Escribe de acuerdo a las convenciones de la tecnología.</v>
      </c>
    </row>
    <row r="28">
      <c r="A28" s="1">
        <v>0.0</v>
      </c>
      <c r="B28" s="2" t="str">
        <f>IF(A28=1,"✅", "❌")&amp;"Divide el problema en funciones chicas y concretas."</f>
        <v>❌Divide el problema en funciones chicas y concretas.</v>
      </c>
    </row>
    <row r="29">
      <c r="A29" s="1">
        <v>0.0</v>
      </c>
      <c r="B29" s="2" t="str">
        <f>IF(A29=1,"✅", "❌❗")&amp;"No hay código duplicado."</f>
        <v>❌❗No hay código duplicado.</v>
      </c>
    </row>
    <row r="30">
      <c r="A30" s="1">
        <v>0.0</v>
      </c>
      <c r="B30" s="2" t="str">
        <f>IF(A30=1,"✅", "❌")&amp;"No tiene código mal indentado."</f>
        <v>❌No tiene código mal indentado.</v>
      </c>
    </row>
    <row r="31">
      <c r="A31" s="1">
        <v>0.0</v>
      </c>
      <c r="B31" s="2" t="str">
        <f>IF(A31=1,"✅", "❌")&amp;"No tiene formato irregular (espacios o enters donde no debería)."</f>
        <v>❌No tiene formato irregular (espacios o enters donde no debería).</v>
      </c>
    </row>
    <row r="32">
      <c r="A32" s="1">
        <v>1.0</v>
      </c>
      <c r="B32" s="2" t="str">
        <f>IF(A32=1,"✅😀", "❌")&amp;"Tiene error handling."</f>
        <v>✅😀Tiene error handling.</v>
      </c>
    </row>
    <row r="34">
      <c r="B34" s="1" t="s">
        <v>5</v>
      </c>
    </row>
    <row r="35">
      <c r="A35" s="1">
        <v>0.0</v>
      </c>
      <c r="B35" s="2" t="str">
        <f>IF(A35=1,"✅", "❌")&amp;"Crea componentes genéricos para el boton"</f>
        <v>❌Crea componentes genéricos para el boton</v>
      </c>
    </row>
    <row r="36">
      <c r="A36" s="1">
        <v>0.0</v>
      </c>
      <c r="B36" s="2" t="str">
        <f>IF(A36=1,"✅😀", "❌")&amp;"Crea componentes genéricos para el Contenedor (header + content)"</f>
        <v>❌Crea componentes genéricos para el Contenedor (header + content)</v>
      </c>
    </row>
    <row r="37">
      <c r="A37" s="1">
        <v>0.0</v>
      </c>
      <c r="B37" s="2" t="str">
        <f>IF(A37=1,"✅", "❌")&amp;"Usa destructuring de las props"</f>
        <v>❌Usa destructuring de las props</v>
      </c>
    </row>
    <row r="38">
      <c r="A38" s="1">
        <v>0.0</v>
      </c>
      <c r="B38" s="2" t="str">
        <f>IF(A38=1,"✅😀", "❌")&amp;"Utiliza el redux store"</f>
        <v>❌Utiliza el redux store</v>
      </c>
    </row>
    <row r="39">
      <c r="A39" s="1">
        <v>0.0</v>
      </c>
      <c r="B39" s="2" t="str">
        <f>IF(A39=1,"✅", "❌")&amp;"Genera otra carpeta para los componentes genéricos"</f>
        <v>❌Genera otra carpeta para los componentes genéricos</v>
      </c>
    </row>
    <row r="40">
      <c r="A40" s="1">
        <v>0.0</v>
      </c>
      <c r="B40" s="2" t="str">
        <f>IF(A40=1,"✅", "❌")&amp;"El css está desacoplado"</f>
        <v>❌El css está desacoplado</v>
      </c>
    </row>
    <row r="41">
      <c r="A41" s="1">
        <v>0.0</v>
      </c>
      <c r="B41" s="2" t="str">
        <f>IF(A41=1,"✅", "❌")&amp;"Usa scss"</f>
        <v>❌Usa scss</v>
      </c>
    </row>
    <row r="42">
      <c r="A42" s="1">
        <v>1.0</v>
      </c>
      <c r="B42" s="2" t="str">
        <f>IF(A42=1,"✅", "❌❗")&amp;"Usa solo componentes funcionales o no funcionales (no los mezcla)"</f>
        <v>✅Usa solo componentes funcionales o no funcionales (no los mezcla)</v>
      </c>
    </row>
    <row r="43">
      <c r="A43" s="1">
        <v>0.0</v>
      </c>
      <c r="B43" s="2" t="str">
        <f>IF(A43=1,"✅", "❌")&amp;"Separa las constantes en archivos"</f>
        <v>❌Separa las constantes en archivos</v>
      </c>
    </row>
    <row r="44">
      <c r="A44" s="1">
        <v>0.0</v>
      </c>
      <c r="B44" s="2" t="str">
        <f>IF(A44=1,"✅😀", "❌")&amp;"Arquitectura clara (CSS puesto junto al componente)"</f>
        <v>❌Arquitectura clara (CSS puesto junto al componente)</v>
      </c>
    </row>
    <row r="46">
      <c r="B46" s="1" t="s">
        <v>6</v>
      </c>
    </row>
    <row r="47">
      <c r="A47" s="1">
        <v>1.0</v>
      </c>
      <c r="B47" s="2" t="str">
        <f>IF(A47=1,"✅", "❌❗")&amp;"Parte A correcta"</f>
        <v>✅Parte A correcta</v>
      </c>
    </row>
    <row r="50">
      <c r="A50" s="1" t="s">
        <v>7</v>
      </c>
      <c r="B50" s="1" t="s">
        <v>8</v>
      </c>
    </row>
    <row r="51">
      <c r="A51" s="1">
        <v>0.0</v>
      </c>
      <c r="B51" s="3" t="str">
        <f>SWITCH(A51, 0, "No suficiente", 1, "Trainee", 2, "Junior", 3, "SemiSr")</f>
        <v>No suficiente</v>
      </c>
    </row>
    <row r="53">
      <c r="B53" s="1" t="s">
        <v>9</v>
      </c>
    </row>
    <row r="54">
      <c r="B54" s="1" t="s">
        <v>10</v>
      </c>
    </row>
    <row r="55">
      <c r="B55" s="1" t="s">
        <v>11</v>
      </c>
    </row>
    <row r="56">
      <c r="B56" s="1" t="s">
        <v>12</v>
      </c>
    </row>
    <row r="58">
      <c r="B58" s="1" t="s">
        <v>13</v>
      </c>
    </row>
    <row r="59">
      <c r="B59" s="4" t="s">
        <v>14</v>
      </c>
    </row>
    <row r="60">
      <c r="B60" s="4" t="s">
        <v>15</v>
      </c>
    </row>
    <row r="61">
      <c r="B61" s="4" t="s">
        <v>16</v>
      </c>
    </row>
    <row r="62">
      <c r="B62" s="4" t="s">
        <v>17</v>
      </c>
    </row>
    <row r="63">
      <c r="B63" s="4" t="s">
        <v>18</v>
      </c>
    </row>
    <row r="64">
      <c r="B64" s="4" t="s">
        <v>19</v>
      </c>
    </row>
    <row r="65">
      <c r="B65" s="4"/>
    </row>
    <row r="68">
      <c r="B68" s="1" t="s">
        <v>20</v>
      </c>
    </row>
    <row r="69">
      <c r="B69" s="1" t="s">
        <v>21</v>
      </c>
    </row>
    <row r="70">
      <c r="B70" s="1" t="s">
        <v>22</v>
      </c>
    </row>
    <row r="71">
      <c r="B71" s="1" t="s">
        <v>23</v>
      </c>
    </row>
  </sheetData>
  <drawing r:id="rId1"/>
</worksheet>
</file>