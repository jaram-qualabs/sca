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Backend" sheetId="1" r:id="rId5"/>
  </sheets>
  <definedNames/>
  <calcPr/>
</workbook>
</file>

<file path=xl/sharedStrings.xml><?xml version="1.0" encoding="utf-8"?>
<sst xmlns="http://schemas.openxmlformats.org/spreadsheetml/2006/main" count="10" uniqueCount="10">
  <si>
    <t>(0 o 1)</t>
  </si>
  <si>
    <t>📚 Documentación</t>
  </si>
  <si>
    <t>👨🏻‍💻 Usabilidad</t>
  </si>
  <si>
    <t>🍝 Calidad del código</t>
  </si>
  <si>
    <t>🛠️ Eficacia y Eficiencia</t>
  </si>
  <si>
    <t>(0 a 3)</t>
  </si>
  <si>
    <t>🎚️Nivel</t>
  </si>
  <si>
    <t>⭐Aspectos que destacan (positivos o negativos), o impresiones generales</t>
  </si>
  <si>
    <t>📝 Otras notas de corrección</t>
  </si>
  <si>
    <t>🎁 Feedback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</si>
</sst>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13"/>
  </cols>
  <sheetData>
    <row r="2">
      <c r="A2" s="1" t="s">
        <v>0</v>
      </c>
      <c r="B2" s="1" t="s">
        <v>1</v>
      </c>
    </row>
    <row r="3">
      <c r="B3" s="2" t="str">
        <f>IF(A3=1,"✅", "❌") &amp; "Explica cómo correr el código."</f>
        <v>❌Explica cómo correr el código.</v>
      </c>
    </row>
    <row r="4">
      <c r="B4" s="2" t="str">
        <f>IF(A4=1,"✅", "❌") &amp; "Documenta la versión de la tecnología en la que programó la prueba."</f>
        <v>❌Documenta la versión de la tecnología en la que programó la prueba.</v>
      </c>
    </row>
    <row r="5">
      <c r="B5" s="2" t="str">
        <f>IF(A5=1,"✅", "❌") &amp; "Explica cómo funciona el código, o elecciones que se tomaron, o condiciones particulares"</f>
        <v>❌Explica cómo funciona el código, o elecciones que se tomaron, o condiciones particulares</v>
      </c>
    </row>
    <row r="7">
      <c r="B7" s="1" t="s">
        <v>2</v>
      </c>
    </row>
    <row r="8">
      <c r="B8" s="2" t="str">
        <f>IF(A8=1,"✅", "❌") &amp; "El output es consistente (todo por consola o todo por archivos)."</f>
        <v>❌El output es consistente (todo por consola o todo por archivos).</v>
      </c>
    </row>
    <row r="9">
      <c r="B9" s="2" t="str">
        <f>IF(A9=1,"✅", "❌") &amp; "Parametriza los archivos en la ejecución (archivo de config, constante, línea de comandos)"</f>
        <v>❌Parametriza los archivos en la ejecución (archivo de config, constante, línea de comandos)</v>
      </c>
    </row>
    <row r="10">
      <c r="B10" s="2" t="str">
        <f>IF(A10=1,"✅", "❌") &amp; "No hardcodea el nombre de archivos (u*.json)"</f>
        <v>❌No hardcodea el nombre de archivos (u*.json)</v>
      </c>
    </row>
    <row r="11">
      <c r="B11" s="2" t="str">
        <f>IF(A11=1,"✅", "❌❗") &amp; "No hardcodea la cantidad de archivos (20)"</f>
        <v>❌❗No hardcodea la cantidad de archivos (20)</v>
      </c>
    </row>
    <row r="12">
      <c r="B12" s="2" t="str">
        <f>IF(A12=1,"✅", "❌❗") &amp; "No hardcodea los providers que espera encontrar (authx.provider_y)"</f>
        <v>❌❗No hardcodea los providers que espera encontrar (authx.provider_y)</v>
      </c>
    </row>
    <row r="13">
      <c r="B13" s="2" t="str">
        <f>IF(A13=1,"✅😀", "❌")&amp;"Imprime la salida como en la letra (sin las comas, JSON inválido), o cuestionó el formato."</f>
        <v>❌Imprime la salida como en la letra (sin las comas, JSON inválido), o cuestionó el formato.</v>
      </c>
    </row>
    <row r="15">
      <c r="B15" s="1" t="s">
        <v>3</v>
      </c>
    </row>
    <row r="16">
      <c r="B16" s="2" t="str">
        <f>IF(A16=1,"✅", "❌") &amp;"Es consistente con la nomenclatura (camelCase o snake_case)"</f>
        <v>❌Es consistente con la nomenclatura (camelCase o snake_case)</v>
      </c>
    </row>
    <row r="17">
      <c r="B17" s="2" t="str">
        <f>IF(A17=1,"✅", "❌")&amp;"Los comentarios son adecuados (dicen cosas útiles)."</f>
        <v>❌Los comentarios son adecuados (dicen cosas útiles).</v>
      </c>
    </row>
    <row r="18">
      <c r="B18" s="2" t="str">
        <f>IF(A18=1,"✅", "❌")&amp;"No hay comentarios excesivos."</f>
        <v>❌No hay comentarios excesivos.</v>
      </c>
    </row>
    <row r="19">
      <c r="B19" s="2" t="str">
        <f>IF(A19=1,"✅", "❌")&amp;"Escribe de acuerdo a las convenciones de la tecnología."</f>
        <v>❌Escribe de acuerdo a las convenciones de la tecnología.</v>
      </c>
    </row>
    <row r="20">
      <c r="B20" s="2" t="str">
        <f>IF(A20=1,"✅", "❌")&amp;"Divide el problema en funciones chicas y concretas."</f>
        <v>❌Divide el problema en funciones chicas y concretas.</v>
      </c>
    </row>
    <row r="21">
      <c r="B21" s="2" t="str">
        <f>IF(A21=1,"✅", "❌")&amp;"No repite el código de la parte A."</f>
        <v>❌No repite el código de la parte A.</v>
      </c>
    </row>
    <row r="22">
      <c r="B22" s="2" t="str">
        <f>IF(A22=1,"✅", "❌❗")&amp;"No hay código duplicado."</f>
        <v>❌❗No hay código duplicado.</v>
      </c>
    </row>
    <row r="23">
      <c r="B23" s="2" t="str">
        <f>IF(A23=1,"✅", "❌")&amp;"No tiene código mal indentado."</f>
        <v>❌No tiene código mal indentado.</v>
      </c>
    </row>
    <row r="24">
      <c r="B24" s="2" t="str">
        <f>IF(A24=1,"✅", "❌")&amp;"No tiene formato irregular (espacios o enters donde no debería)."</f>
        <v>❌No tiene formato irregular (espacios o enters donde no debería).</v>
      </c>
    </row>
    <row r="25">
      <c r="B25" s="2" t="str">
        <f>IF(A25=1,"✅😀", "❌")&amp;"Tiene error handling."</f>
        <v>❌Tiene error handling.</v>
      </c>
    </row>
    <row r="27">
      <c r="B27" s="1" t="s">
        <v>4</v>
      </c>
    </row>
    <row r="28">
      <c r="B28" s="2" t="str">
        <f>IF(A28=1,"✅", "❌❗")&amp;"Parte A correcta"</f>
        <v>❌❗Parte A correcta</v>
      </c>
    </row>
    <row r="29">
      <c r="B29" s="2" t="str">
        <f>IF(A29=1,"✅", "❌❗")&amp;"Consigue un set de usuarios que cubren todos los módulos."</f>
        <v>❌❗Consigue un set de usuarios que cubren todos los módulos.</v>
      </c>
    </row>
    <row r="30">
      <c r="B30" s="2" t="str">
        <f>IF(A30=1,"✅", "❌")&amp;"Busca un set reducido (ej: ordenar por los que usan más módulos)."</f>
        <v>❌Busca un set reducido (ej: ordenar por los que usan más módulos).</v>
      </c>
    </row>
    <row r="31">
      <c r="B31" s="2" t="str">
        <f>IF(A31=1,"✅😀", "❌")&amp;"Asegura el set mínimo (ej: backtracking, generar todo, etc)."</f>
        <v>❌Asegura el set mínimo (ej: backtracking, generar todo, etc).</v>
      </c>
    </row>
    <row r="33">
      <c r="A33" s="1" t="s">
        <v>5</v>
      </c>
      <c r="B33" s="1" t="s">
        <v>6</v>
      </c>
    </row>
    <row r="34">
      <c r="B34" s="3" t="str">
        <f>SWITCH(A34, 0, "No suficiente", 1, "Trainee", 2, "Junior", 3, "SemiSr")</f>
        <v>No suficiente</v>
      </c>
    </row>
    <row r="36">
      <c r="B36" s="1" t="s">
        <v>7</v>
      </c>
    </row>
    <row r="40">
      <c r="B40" s="4"/>
    </row>
    <row r="41">
      <c r="B41" s="1" t="s">
        <v>8</v>
      </c>
    </row>
    <row r="42">
      <c r="B42" s="4"/>
    </row>
    <row r="43">
      <c r="B43" s="4"/>
    </row>
    <row r="46">
      <c r="B46" s="1" t="s">
        <v>9</v>
      </c>
    </row>
  </sheetData>
  <drawing r:id="rId1"/>
</worksheet>
</file>